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2.xml" ContentType="application/vnd.openxmlformats-officedocument.spreadsheetml.comments+xml"/>
  <Override PartName="/xl/drawings/drawing23.xml" ContentType="application/vnd.openxmlformats-officedocument.drawing+xml"/>
  <Override PartName="/xl/comments3.xml" ContentType="application/vnd.openxmlformats-officedocument.spreadsheetml.comments+xml"/>
  <Override PartName="/xl/drawings/drawing2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siqi/Documents/WHU_Office/课程教授/本科授课/Lecture_notes/环境规划与管理-第七讲20261015/TECHTEST_tool-Conceived-by-USDOE/"/>
    </mc:Choice>
  </mc:AlternateContent>
  <xr:revisionPtr revIDLastSave="0" documentId="13_ncr:1_{CD5DBF4F-D480-6F4F-8643-94AA57300AB1}" xr6:coauthVersionLast="47" xr6:coauthVersionMax="47" xr10:uidLastSave="{00000000-0000-0000-0000-000000000000}"/>
  <bookViews>
    <workbookView xWindow="820" yWindow="1560" windowWidth="33140" windowHeight="19000" firstSheet="4" activeTab="14" xr2:uid="{669F2952-83B4-4463-90B9-A40B210EA68D}"/>
  </bookViews>
  <sheets>
    <sheet name="TECHTEST Landing Page" sheetId="36" r:id="rId1"/>
    <sheet name="Full Entry Home Page" sheetId="38" r:id="rId2"/>
    <sheet name="Rapid Data Entry Home Page" sheetId="37" r:id="rId3"/>
    <sheet name="Project Basics &amp; Benchmarks" sheetId="3" r:id="rId4"/>
    <sheet name="Functional Unit" sheetId="39" r:id="rId5"/>
    <sheet name="Raw Materials" sheetId="14" r:id="rId6"/>
    <sheet name="Market" sheetId="11" r:id="rId7"/>
    <sheet name="Manufacturing Energy" sheetId="17" r:id="rId8"/>
    <sheet name="Use Phase Energy" sheetId="23" r:id="rId9"/>
    <sheet name="CapEx" sheetId="19" r:id="rId10"/>
    <sheet name="OpEx" sheetId="20" r:id="rId11"/>
    <sheet name="Unit Conversion Page" sheetId="41" r:id="rId12"/>
    <sheet name="Grid Mix Customization" sheetId="33" r:id="rId13"/>
    <sheet name="Summary Tables" sheetId="24" r:id="rId14"/>
    <sheet name="Results Dashboard" sheetId="25" r:id="rId15"/>
    <sheet name="Rapid Data Input (Method 2)" sheetId="28" r:id="rId16"/>
    <sheet name="Summary Tables (Method 2)" sheetId="29" r:id="rId17"/>
    <sheet name="Rapid Results Dashboard" sheetId="30" r:id="rId18"/>
    <sheet name="Cost Comparison Mini-Tool" sheetId="40" r:id="rId19"/>
    <sheet name="MFI Embodied Energy Mini-Tool" sheetId="16" r:id="rId20"/>
    <sheet name="Labor Estimation Mini-Tool" sheetId="21" r:id="rId21"/>
    <sheet name="GWP Ref Tables" sheetId="26" r:id="rId22"/>
    <sheet name="EIA Ref Tables" sheetId="18" r:id="rId23"/>
    <sheet name="Summary Ref Tables" sheetId="27" r:id="rId24"/>
    <sheet name="Dropdown Menu Options" sheetId="7" state="hidden" r:id="rId25"/>
  </sheets>
  <externalReferences>
    <externalReference r:id="rId26"/>
  </externalReferences>
  <definedNames>
    <definedName name="AMO_TM">'Project Basics &amp; Benchmarks'!$C$12</definedName>
    <definedName name="AnnualCapEx_Benchmark">CapEx!$O$42</definedName>
    <definedName name="AnnualCapEx_Benchmark_withMaintenance">CapEx!$O$44</definedName>
    <definedName name="AnnualCapEx_NewTech">CapEx!$G$42</definedName>
    <definedName name="AnnualCapEx_NewTech_withMaintenance">CapEx!$G$44</definedName>
    <definedName name="AnnualConstructionCapEx_Benchmark">CapEx!$O$36</definedName>
    <definedName name="AnnualConstructionCapEx_NewTech">CapEx!$G$36</definedName>
    <definedName name="AnnualEnergyCost_Benchmark">OpEx!$M$88</definedName>
    <definedName name="AnnualEnergyCost_NewTech">OpEx!$F$88</definedName>
    <definedName name="AnnualLaborCost_Benchmark">OpEx!$M$86</definedName>
    <definedName name="AnnualLaborCost_NewTech">OpEx!$F$86</definedName>
    <definedName name="AnnualMatCost_Benchmark">OpEx!$M$87</definedName>
    <definedName name="AnnualMatCost_NewTech">OpEx!$F$87</definedName>
    <definedName name="AnnualNonProcessCapEx_Benchmark">CapEx!$O$31</definedName>
    <definedName name="AnnualNonProcessCapEx_NewTech">CapEx!$G$31</definedName>
    <definedName name="AnnualOpEx_Benchmark">OpEx!$M$90</definedName>
    <definedName name="AnnualOpEx_NewTech">OpEx!$F$90</definedName>
    <definedName name="AnnualOtherCapEx_Benchmark">CapEx!$O$41</definedName>
    <definedName name="AnnualOtherCapEx_NewTech">CapEx!$G$41</definedName>
    <definedName name="AnnualOtherRecurring_Benchmark">OpEx!$M$89</definedName>
    <definedName name="AnnualOtherRecurring_NewTech">OpEx!$F$89</definedName>
    <definedName name="AnnualOverheadCost_Benchmark">OpEx!#REF!</definedName>
    <definedName name="AnnualOverheadCost_NewTech">OpEx!#REF!</definedName>
    <definedName name="AnnualProcessCapEx_Benchmark">CapEx!$O$26</definedName>
    <definedName name="AnnualProcessCapEx_NewTech">CapEx!$G$26</definedName>
    <definedName name="AnnualUsePhaseEmissions_Current">'Use Phase Energy'!$J$34</definedName>
    <definedName name="AnnualUsePhaseEmissions_Hypothetical">'Use Phase Energy'!$O$34</definedName>
    <definedName name="AnnualUsePhaseEnergy_Current">'Use Phase Energy'!$H$34</definedName>
    <definedName name="AnnualUsePhaseEnergy_Hypoth">'Use Phase Energy'!$M$34</definedName>
    <definedName name="BasicsBenchmarks">'Project Basics &amp; Benchmarks'!$B$5</definedName>
    <definedName name="Benchmark_Apps">'Project Basics &amp; Benchmarks'!$E$30</definedName>
    <definedName name="Benchmark_Status">'Project Basics &amp; Benchmarks'!$F$30</definedName>
    <definedName name="CH4_GWP">'GWP Ref Tables'!$E$9</definedName>
    <definedName name="Challenges_Additive_Manufacturing">'Dropdown Menu Options'!$D$54:$M$54</definedName>
    <definedName name="Challenges_Advanced_Materials">'Dropdown Menu Options'!$D$55:$M$55</definedName>
    <definedName name="Challenges_Advanced_Sensors">'Dropdown Menu Options'!$D$56:$M$56</definedName>
    <definedName name="Challenges_CHP">'Dropdown Menu Options'!$D$57:$M$57</definedName>
    <definedName name="Challenges_Clean_Water">'Dropdown Menu Options'!$D$68:$M$68</definedName>
    <definedName name="Challenges_Composite_Materials">'Dropdown Menu Options'!$D$58:$M$58</definedName>
    <definedName name="Challenges_Critical_Materials">'Dropdown Menu Options'!$D$59:$M$59</definedName>
    <definedName name="Challenges_Cybersecurity">'Dropdown Menu Options'!$D$69:$M$69</definedName>
    <definedName name="Challenges_Energy_Efficient_Computing">'Dropdown Menu Options'!$D$70:$M$70</definedName>
    <definedName name="Challenges_Materials_Harsh">'Dropdown Menu Options'!$D$61:$M$61</definedName>
    <definedName name="Challenges_Motor_Driven_Systems">'Dropdown Menu Options'!$D$71:$M$71</definedName>
    <definedName name="Challenges_Other">'Dropdown Menu Options'!$D$72:$M$72</definedName>
    <definedName name="Challenges_Process_Heating">'Dropdown Menu Options'!$D$62:$M$62</definedName>
    <definedName name="Challenges_Process_Intensification">'Dropdown Menu Options'!$D$63:$M$63</definedName>
    <definedName name="Challenges_Roll_to_Roll_Processing">'Dropdown Menu Options'!$D$64:$M$64</definedName>
    <definedName name="Challenges_Sustainable_Manufacturing">'Dropdown Menu Options'!$D$65:$M$65</definedName>
    <definedName name="Challenges_Thermal_Conversion_Materials">'Dropdown Menu Options'!$D$60:$M$60</definedName>
    <definedName name="Challenges_Waste_Heat_Recovery">'Dropdown Menu Options'!$D$66:$M$66</definedName>
    <definedName name="Challenges_Wide_Bandgap_Semiconductors">'Dropdown Menu Options'!$D$67:$M$67</definedName>
    <definedName name="Commercial_Benchmark">'Project Basics &amp; Benchmarks'!$D$30</definedName>
    <definedName name="CurrentMarketShare_Benchmark">Market!$E$21</definedName>
    <definedName name="CurrentMarketShare_NewTech">Market!$E$20</definedName>
    <definedName name="CurrentMarketShare_OtherTech">Market!$E$22</definedName>
    <definedName name="DataPlanning">#REF!</definedName>
    <definedName name="e">'[1]Project Basics &amp; Benchmarks'!$D$41</definedName>
    <definedName name="EIA">'EIA Ref Tables'!$B$3</definedName>
    <definedName name="EndUse_Product">'Project Basics &amp; Benchmarks'!$C$24</definedName>
    <definedName name="EnergyConsumption">'EIA Ref Tables'!$B$3</definedName>
    <definedName name="EnergyCost_Benchmark">OpEx!$M$88</definedName>
    <definedName name="EnergyCost_NewTech">OpEx!$F$88</definedName>
    <definedName name="EnergyCostBAU">'Summary Tables'!$E$38</definedName>
    <definedName name="EnergyCostNT">'Summary Tables'!$D$38</definedName>
    <definedName name="EquipMaintenanceRate_Benchmark">CapEx!$O$43</definedName>
    <definedName name="EquipMaintenanceRate_NewTech">CapEx!$G$43</definedName>
    <definedName name="f">'[1]Project Basics &amp; Benchmarks'!$D$40</definedName>
    <definedName name="Facility_Production_Benchmark">CapEx!$K$15</definedName>
    <definedName name="Facility_Production_NewTech">CapEx!$C$15</definedName>
    <definedName name="FullDataLanding">'Full Entry Home Page'!$B$2</definedName>
    <definedName name="Functional_Unit">'Functional Unit'!$B$2</definedName>
    <definedName name="Funding_Mech">'Project Basics &amp; Benchmarks'!$C$15</definedName>
    <definedName name="GM_Output">'Grid Mix Customization'!$F$31</definedName>
    <definedName name="GMC">'Grid Mix Customization'!$B$4</definedName>
    <definedName name="GridMix">'Grid Mix Customization'!$C$15</definedName>
    <definedName name="GWP">'GWP Ref Tables'!$B$4</definedName>
    <definedName name="GWP_Elec_Reference">'GWP Ref Tables'!$B$66</definedName>
    <definedName name="Labor_Estimation">'Labor Estimation Mini-Tool'!$B$3</definedName>
    <definedName name="MYPP_Area">'Project Basics &amp; Benchmarks'!#REF!</definedName>
    <definedName name="MYPP_Challenges_List">'Project Basics &amp; Benchmarks'!#REF!</definedName>
    <definedName name="MYPP_List">'Dropdown Menu Options'!$B$32:$B$50</definedName>
    <definedName name="MYPP_Targets_List">'Project Basics &amp; Benchmarks'!#REF!</definedName>
    <definedName name="N2O_GWP">'GWP Ref Tables'!$E$10</definedName>
    <definedName name="New_Technology">'Project Basics &amp; Benchmarks'!$D$29</definedName>
    <definedName name="New_Technology_Apps">'Project Basics &amp; Benchmarks'!$E$29</definedName>
    <definedName name="NewTech_Status">'Project Basics &amp; Benchmarks'!$F$29</definedName>
    <definedName name="nothing">#REF!</definedName>
    <definedName name="Other_Competing">'Project Basics &amp; Benchmarks'!$D$31</definedName>
    <definedName name="Other_Competing_Apps">'Project Basics &amp; Benchmarks'!$E$31</definedName>
    <definedName name="OtherTech_Status">'Project Basics &amp; Benchmarks'!$F$31</definedName>
    <definedName name="PotentialMarketShare_Benchmark">Market!$F$21</definedName>
    <definedName name="PotentialMarketShare_NewTech">Market!$F$20</definedName>
    <definedName name="PotentialMarketShare_OtherTech">Market!$F$22</definedName>
    <definedName name="PotentialProduction">'Summary Tables'!$D$17</definedName>
    <definedName name="_xlnm.Print_Area" localSheetId="6">Market!$B$1:$H$34</definedName>
    <definedName name="_xlnm.Print_Area" localSheetId="3">'Project Basics &amp; Benchmarks'!$B$1:$G$72</definedName>
    <definedName name="_xlnm.Print_Area" localSheetId="17">'Rapid Results Dashboard'!$B$1:$U$48</definedName>
    <definedName name="_xlnm.Print_Area" localSheetId="5">'Raw Materials'!$B$1:$U$43</definedName>
    <definedName name="_xlnm.Print_Area" localSheetId="14">'Results Dashboard'!$B$1:$U$47</definedName>
    <definedName name="_xlnm.Print_Area" localSheetId="13">'Summary Tables'!$B$1:$Q$73</definedName>
    <definedName name="_xlnm.Print_Area" localSheetId="16">'Summary Tables (Method 2)'!$B$1:$Q$73</definedName>
    <definedName name="_xlnm.Print_Area" localSheetId="0">'TECHTEST Landing Page'!$C$1:$C$31</definedName>
    <definedName name="Project_Collaborators">'Project Basics &amp; Benchmarks'!$C$9</definedName>
    <definedName name="Project_End">'Project Basics &amp; Benchmarks'!$C$14</definedName>
    <definedName name="Project_Lead">'Project Basics &amp; Benchmarks'!$C$8</definedName>
    <definedName name="Project_PI">'Project Basics &amp; Benchmarks'!$C$10</definedName>
    <definedName name="Project_PI_Org">'Project Basics &amp; Benchmarks'!$C$11</definedName>
    <definedName name="Project_Start">'Project Basics &amp; Benchmarks'!$C$13</definedName>
    <definedName name="Project_Title">'Project Basics &amp; Benchmarks'!$C$7</definedName>
    <definedName name="ProjectLead">'Project Basics &amp; Benchmarks'!$C$8</definedName>
    <definedName name="ProjectTitle">'Project Basics &amp; Benchmarks'!$C$7</definedName>
    <definedName name="RapidAnnualProd">'Rapid Data Input (Method 2)'!$E$11</definedName>
    <definedName name="RapidAnnualProdUnits">'Rapid Data Input (Method 2)'!$E$12</definedName>
    <definedName name="RapidBenchmarkTech">'Rapid Data Input (Method 2)'!$E$19</definedName>
    <definedName name="RapidDataLanding">'Rapid Data Entry Home Page'!$B$2</definedName>
    <definedName name="RapidFacilityProduction">'Rapid Data Input (Method 2)'!$J$18</definedName>
    <definedName name="RapidFacilityProductionBenchmark">'Rapid Data Input (Method 2)'!$J$19</definedName>
    <definedName name="RapidPotentialMarketShare">'Rapid Data Input (Method 2)'!$I$18</definedName>
    <definedName name="RapidPotentialProduction">'Rapid Data Input (Method 2)'!$E$32</definedName>
    <definedName name="RapidProduct">'Rapid Data Input (Method 2)'!$E$10</definedName>
    <definedName name="RapidRefVolume">'Rapid Data Input (Method 2)'!$E$24</definedName>
    <definedName name="RapidRefVolumeBenchmark">'Rapid Data Input (Method 2)'!$E$25</definedName>
    <definedName name="RapidReplaceableProduction">'Rapid Data Input (Method 2)'!$E$31</definedName>
    <definedName name="Ref_Volume">'Functional Unit'!$C$50</definedName>
    <definedName name="Ref_Volume_Benchmark">'Functional Unit'!$G$50</definedName>
    <definedName name="Ref_Volume_Unit">'Functional Unit'!$D$50</definedName>
    <definedName name="RefCapEx_Benchmark">CapEx!$Q$42</definedName>
    <definedName name="RefCapEx_Benchmark_withMaintenance">CapEx!$Q$44</definedName>
    <definedName name="RefCapEx_NewTech">CapEx!$H$42</definedName>
    <definedName name="RefCapEx_NewTech_withMaintenance">CapEx!$H$44</definedName>
    <definedName name="RefConstructionCapEx_Benchmark">CapEx!$Q$36</definedName>
    <definedName name="RefConstructionCapEx_NewTech">CapEx!$H$36</definedName>
    <definedName name="RefEmbodiedEmissions_Benchmark">'Raw Materials'!$S$28</definedName>
    <definedName name="RefEmbodiedEmissions_NewTech">'Raw Materials'!$I$28</definedName>
    <definedName name="RefEmbodiedEnergy_Benchmark">'Raw Materials'!$R$28</definedName>
    <definedName name="RefEmbodiedEnergy_NewTech">'Raw Materials'!$H$28</definedName>
    <definedName name="RefEnergyCost_Benchmark">OpEx!$O$88</definedName>
    <definedName name="RefEnergyCost_NewTech">OpEx!$G$88</definedName>
    <definedName name="RefLaborCost_Benchmark">OpEx!$O$86</definedName>
    <definedName name="RefLaborCost_NewTech">OpEx!$G$86</definedName>
    <definedName name="RefManufEmissions_Benchmark">'Manufacturing Energy'!$T$26</definedName>
    <definedName name="RefManufEmissions_NewTech">'Manufacturing Energy'!$J$26</definedName>
    <definedName name="RefManufEnergy_Benchmark">'Manufacturing Energy'!$R$26</definedName>
    <definedName name="RefManufEnergy_NewTech">'Manufacturing Energy'!$H$26</definedName>
    <definedName name="RefManufEnergyCost_Benchmark">'Manufacturing Energy'!$S$26</definedName>
    <definedName name="RefManufEnergyCost_NewTech">'Manufacturing Energy'!$I$26</definedName>
    <definedName name="RefMatCost_Benchmark">OpEx!$O$87</definedName>
    <definedName name="RefMatCost_NewTech">OpEx!$G$87</definedName>
    <definedName name="RefNonProcessCapEx_Benchmark">CapEx!$Q$31</definedName>
    <definedName name="RefNonProcessCapEx_NewTech">CapEx!$H$31</definedName>
    <definedName name="RefOpEx_Benchmark">OpEx!$O$90</definedName>
    <definedName name="RefOpEx_NewTech">OpEx!$G$90</definedName>
    <definedName name="RefOtherCapEx_Benchmark">CapEx!$Q$41</definedName>
    <definedName name="RefOtherCapEx_NewTech">CapEx!$H$41</definedName>
    <definedName name="RefOtherRecurring_Benchmark">OpEx!$O$89</definedName>
    <definedName name="RefOtherRecurring_NewTech">OpEx!$G$89</definedName>
    <definedName name="RefOverheadCost_Benchmark">OpEx!#REF!</definedName>
    <definedName name="RefOverheadCost_NewTech">OpEx!#REF!</definedName>
    <definedName name="RefProcessCapEx_Benchmark">CapEx!$Q$26</definedName>
    <definedName name="RefProcessCapEx_NewTech">CapEx!$H$26</definedName>
    <definedName name="RefProcessEmissions_Benchmark">'Manufacturing Energy'!$Q$38</definedName>
    <definedName name="RefProcessEmissions_NewTech">'Manufacturing Energy'!$G$38</definedName>
    <definedName name="ReplaceableProduction">'Summary Tables'!$D$16</definedName>
    <definedName name="RpaidNewTech">'Rapid Data Input (Method 2)'!$E$18</definedName>
    <definedName name="ScaledCapEx_Benchmark">CapEx!$P$42</definedName>
    <definedName name="ScaledCapEx_Benchmark_withMaintenance">CapEx!$P$44</definedName>
    <definedName name="ScaledConstructionCapEx_Benchmark">CapEx!$P$36</definedName>
    <definedName name="ScaledEnergyCost_Benchmark">OpEx!$N$88</definedName>
    <definedName name="ScaledLaborCost_Benchmark">OpEx!$N$86</definedName>
    <definedName name="ScaledMatCost_Benchmark">OpEx!$N$87</definedName>
    <definedName name="ScaledNonProcessCapEx_Benchmark">CapEx!$P$31</definedName>
    <definedName name="ScaledOpEx_Benchmark">OpEx!$N$90</definedName>
    <definedName name="ScaledOtherCapEx_Benchmark">CapEx!$P$41</definedName>
    <definedName name="ScaledOtherRecurring_Benchmark">OpEx!$N$89</definedName>
    <definedName name="ScaledOverheadCost_Benchmark">OpEx!#REF!</definedName>
    <definedName name="ScaledProcessCapEx_Benchmark">CapEx!$P$26</definedName>
    <definedName name="Targets_Additive_Manufacturing">'Dropdown Menu Options'!$D$32:$H$32</definedName>
    <definedName name="Targets_Advanced_Materials">'Dropdown Menu Options'!$D$33:$H$33</definedName>
    <definedName name="Targets_Advanced_Sensors">'Dropdown Menu Options'!$D$34:$H$34</definedName>
    <definedName name="Targets_CHP">'Dropdown Menu Options'!$D$35:$H$35</definedName>
    <definedName name="Targets_Clean_Water">'Dropdown Menu Options'!$D$46:$H$46</definedName>
    <definedName name="Targets_Composite_Materials">'Dropdown Menu Options'!$D$36:$H$36</definedName>
    <definedName name="Targets_Critical_Materials">'Dropdown Menu Options'!$D$37:$H$37</definedName>
    <definedName name="Targets_Cybersecurity">'Dropdown Menu Options'!$D$47:$H$47</definedName>
    <definedName name="Targets_Energy_Efficient_Computing">'Dropdown Menu Options'!$D$48:$H$48</definedName>
    <definedName name="Targets_Materials_Harsh">'Dropdown Menu Options'!$D$39:$H$39</definedName>
    <definedName name="Targets_Motor_Driven_Systems">'Dropdown Menu Options'!$D$49:$H$49</definedName>
    <definedName name="Targets_Other">'Dropdown Menu Options'!$D$50:$H$50</definedName>
    <definedName name="Targets_Process_Heating">'Dropdown Menu Options'!$D$40:$H$40</definedName>
    <definedName name="Targets_Process_Intensification">'Dropdown Menu Options'!$D$41:$H$41</definedName>
    <definedName name="Targets_Roll_to_Roll_Processing">'Dropdown Menu Options'!$D$42:$H$42</definedName>
    <definedName name="Targets_Sustainable_Manufacturing">'Dropdown Menu Options'!$D$43:$H$43</definedName>
    <definedName name="Targets_Thermal_Conversion_Materials">'Dropdown Menu Options'!$D$38:$H$38</definedName>
    <definedName name="Targets_Waste_Heat_Recovery">'Dropdown Menu Options'!$D$44:$H$44</definedName>
    <definedName name="Targets_Wide_Bandgap_Semiconductors">'Dropdown Menu Options'!$D$45:$H$45</definedName>
    <definedName name="Tech_Additive_Manufacturing">'Dropdown Menu Options'!$D$32:$H$32</definedName>
    <definedName name="Tech_Advanced_Materials">'Dropdown Menu Options'!$D$33:$H$33</definedName>
    <definedName name="Tech_Advanced_Sensors">'Dropdown Menu Options'!$D$34:$H$34</definedName>
    <definedName name="Tech_CHP">'Dropdown Menu Options'!$D$35:$H$35</definedName>
    <definedName name="Tech_Clean_Water">'Dropdown Menu Options'!$D$46:$H$46</definedName>
    <definedName name="Tech_Composite_Materials">'Dropdown Menu Options'!$D$36:$H$36</definedName>
    <definedName name="Tech_Critical_Materials">'Dropdown Menu Options'!$D$37:$H$37</definedName>
    <definedName name="Tech_Cybersecurity">'Dropdown Menu Options'!$D$47:$H$47</definedName>
    <definedName name="Tech_Energy_Efficient_Computing">'Dropdown Menu Options'!$D$48:$H$48</definedName>
    <definedName name="Tech_Materials_Harsh">'Dropdown Menu Options'!$D$39:$H$39</definedName>
    <definedName name="Tech_Motor_Driven_Systems">'Dropdown Menu Options'!$D$49:$H$49</definedName>
    <definedName name="Tech_Other">'Dropdown Menu Options'!$D$50:$H$50</definedName>
    <definedName name="Tech_Process_Heating">'Dropdown Menu Options'!$D$40:$H$40</definedName>
    <definedName name="Tech_Process_Intensification">'Dropdown Menu Options'!$D$41:$H$41</definedName>
    <definedName name="Tech_Roll_to_Roll_Processing">'Dropdown Menu Options'!$D$42:$H$42</definedName>
    <definedName name="Tech_Sustainable_Manufacturing">'Dropdown Menu Options'!$D$43:$H$43</definedName>
    <definedName name="Tech_Thermal_Conversion_Materials">'Dropdown Menu Options'!$D$38:$H$38</definedName>
    <definedName name="Tech_Waste_Heat_Recovery">'Dropdown Menu Options'!$D$44:$H$44</definedName>
    <definedName name="Tech_Wide_Bandgap_Semiconductors">'Dropdown Menu Options'!$D$45:$H$45</definedName>
    <definedName name="TRL_End">'Project Basics &amp; Benchmarks'!#REF!</definedName>
    <definedName name="TRL_Start">'Project Basics &amp; Benchmarks'!#REF!</definedName>
    <definedName name="UPE_BAU">'Use Phase Energy'!$N$34</definedName>
    <definedName name="UPE_NT">'Use Phase Energy'!$I$34</definedName>
    <definedName name="US_Annual_Production">Market!$C$8</definedName>
    <definedName name="US_Annual_Production_Unit">Market!$D$8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7" i="20" l="1"/>
  <c r="M69" i="20"/>
  <c r="M18" i="14"/>
  <c r="C15" i="19"/>
  <c r="J18" i="17"/>
  <c r="J19" i="17"/>
  <c r="J20" i="17"/>
  <c r="J21" i="17"/>
  <c r="J22" i="17"/>
  <c r="J23" i="17"/>
  <c r="J24" i="17"/>
  <c r="J25" i="17"/>
  <c r="T18" i="17"/>
  <c r="T19" i="17"/>
  <c r="T20" i="17"/>
  <c r="T21" i="17"/>
  <c r="T22" i="17"/>
  <c r="T23" i="17"/>
  <c r="T24" i="17"/>
  <c r="T25" i="17"/>
  <c r="S18" i="17"/>
  <c r="S19" i="17"/>
  <c r="S20" i="17"/>
  <c r="S21" i="17"/>
  <c r="S22" i="17"/>
  <c r="S23" i="17"/>
  <c r="S24" i="17"/>
  <c r="S25" i="17"/>
  <c r="R17" i="17"/>
  <c r="S17" i="17"/>
  <c r="I18" i="17"/>
  <c r="I26" i="17" s="1"/>
  <c r="I19" i="17"/>
  <c r="I20" i="17"/>
  <c r="I21" i="17"/>
  <c r="I22" i="17"/>
  <c r="I23" i="17"/>
  <c r="I24" i="17"/>
  <c r="I25" i="17"/>
  <c r="I17" i="17"/>
  <c r="D17" i="17"/>
  <c r="S26" i="17" l="1"/>
  <c r="R26" i="17"/>
  <c r="C36" i="39"/>
  <c r="P22" i="17"/>
  <c r="G29" i="39"/>
  <c r="F18" i="33"/>
  <c r="B3" i="25"/>
  <c r="D21" i="24"/>
  <c r="D20" i="24"/>
  <c r="E21" i="24"/>
  <c r="E20" i="24"/>
  <c r="F21" i="24"/>
  <c r="F20" i="24"/>
  <c r="G20" i="24"/>
  <c r="H20" i="24"/>
  <c r="H21" i="24"/>
  <c r="H22" i="24"/>
  <c r="G22" i="24"/>
  <c r="F22" i="24"/>
  <c r="E22" i="24"/>
  <c r="D22" i="24"/>
  <c r="D12" i="24"/>
  <c r="D11" i="24"/>
  <c r="D10" i="24"/>
  <c r="D9" i="24"/>
  <c r="D8" i="24"/>
  <c r="D7" i="24"/>
  <c r="D6" i="24"/>
  <c r="C58" i="20"/>
  <c r="J58" i="20"/>
  <c r="F53" i="20"/>
  <c r="F54" i="20"/>
  <c r="F56" i="20"/>
  <c r="N53" i="20"/>
  <c r="N54" i="20"/>
  <c r="N56" i="20"/>
  <c r="N16" i="23"/>
  <c r="N17" i="23"/>
  <c r="N19" i="23"/>
  <c r="N20" i="23"/>
  <c r="N21" i="23"/>
  <c r="N22" i="23"/>
  <c r="N23" i="23"/>
  <c r="N29" i="23"/>
  <c r="N30" i="23"/>
  <c r="N31" i="23"/>
  <c r="N32" i="23"/>
  <c r="N33" i="23"/>
  <c r="N27" i="23"/>
  <c r="N28" i="23"/>
  <c r="I16" i="23"/>
  <c r="I17" i="23"/>
  <c r="I18" i="23"/>
  <c r="I27" i="23"/>
  <c r="I28" i="23"/>
  <c r="I29" i="23"/>
  <c r="B78" i="17"/>
  <c r="B80" i="17" s="1"/>
  <c r="B82" i="17" s="1"/>
  <c r="E13" i="41"/>
  <c r="I19" i="23"/>
  <c r="C8" i="11"/>
  <c r="M104" i="14"/>
  <c r="B47" i="14" s="1"/>
  <c r="J33" i="20" s="1"/>
  <c r="L38" i="20"/>
  <c r="E39" i="20"/>
  <c r="E35" i="20"/>
  <c r="E33" i="20"/>
  <c r="I33" i="23"/>
  <c r="I31" i="23"/>
  <c r="E34" i="20"/>
  <c r="E36" i="20"/>
  <c r="E37" i="20"/>
  <c r="E38" i="20"/>
  <c r="E40" i="20"/>
  <c r="E41" i="20"/>
  <c r="L35" i="20"/>
  <c r="L36" i="20"/>
  <c r="L37" i="20"/>
  <c r="L39" i="20"/>
  <c r="L40" i="20"/>
  <c r="L41" i="20"/>
  <c r="K34" i="20"/>
  <c r="K35" i="20"/>
  <c r="K36" i="20"/>
  <c r="K37" i="20"/>
  <c r="K38" i="20"/>
  <c r="K39" i="20"/>
  <c r="K40" i="20"/>
  <c r="K41" i="20"/>
  <c r="K33" i="20"/>
  <c r="I34" i="20"/>
  <c r="I35" i="20"/>
  <c r="I36" i="20"/>
  <c r="I37" i="20"/>
  <c r="I38" i="20"/>
  <c r="I39" i="20"/>
  <c r="I40" i="20"/>
  <c r="I41" i="20"/>
  <c r="I33" i="20"/>
  <c r="D34" i="20"/>
  <c r="D35" i="20"/>
  <c r="D36" i="20"/>
  <c r="D37" i="20"/>
  <c r="D38" i="20"/>
  <c r="D39" i="20"/>
  <c r="D40" i="20"/>
  <c r="D41" i="20"/>
  <c r="D33" i="20"/>
  <c r="C41" i="20"/>
  <c r="C33" i="20"/>
  <c r="B34" i="20"/>
  <c r="B35" i="20"/>
  <c r="B36" i="20"/>
  <c r="B37" i="20"/>
  <c r="B38" i="20"/>
  <c r="B39" i="20"/>
  <c r="B40" i="20"/>
  <c r="B41" i="20"/>
  <c r="B33" i="20"/>
  <c r="D119" i="20"/>
  <c r="D124" i="20" s="1"/>
  <c r="C22" i="20" s="1"/>
  <c r="K117" i="20"/>
  <c r="K120" i="20" s="1"/>
  <c r="E125" i="20" s="1"/>
  <c r="J22" i="20" s="1"/>
  <c r="M22" i="19"/>
  <c r="M33" i="19" s="1"/>
  <c r="E65" i="17"/>
  <c r="E64" i="17"/>
  <c r="F64" i="17" s="1"/>
  <c r="H63" i="17"/>
  <c r="E63" i="17"/>
  <c r="F63" i="17" s="1"/>
  <c r="E62" i="17"/>
  <c r="F62" i="17" s="1"/>
  <c r="D20" i="17" s="1"/>
  <c r="N20" i="17" s="1"/>
  <c r="E61" i="17"/>
  <c r="E60" i="17"/>
  <c r="E59" i="17"/>
  <c r="E58" i="17"/>
  <c r="H57" i="17"/>
  <c r="H58" i="17" s="1"/>
  <c r="E57" i="17"/>
  <c r="F57" i="17" s="1"/>
  <c r="E56" i="17"/>
  <c r="C90" i="23"/>
  <c r="C91" i="23" s="1"/>
  <c r="C61" i="23"/>
  <c r="C60" i="23"/>
  <c r="J18" i="14"/>
  <c r="G33" i="20" s="1"/>
  <c r="O25" i="14"/>
  <c r="O26" i="14"/>
  <c r="O20" i="14"/>
  <c r="Q18" i="14"/>
  <c r="L33" i="20" s="1"/>
  <c r="F20" i="14"/>
  <c r="F21" i="14"/>
  <c r="F22" i="14"/>
  <c r="F24" i="14"/>
  <c r="F25" i="14"/>
  <c r="F19" i="14"/>
  <c r="E20" i="14"/>
  <c r="E21" i="14"/>
  <c r="E22" i="14"/>
  <c r="E24" i="14"/>
  <c r="E25" i="14"/>
  <c r="E19" i="14"/>
  <c r="C21" i="14"/>
  <c r="C36" i="20" s="1"/>
  <c r="C22" i="14"/>
  <c r="C37" i="20" s="1"/>
  <c r="R80" i="14"/>
  <c r="R79" i="14"/>
  <c r="R78" i="14"/>
  <c r="O24" i="14" s="1"/>
  <c r="R77" i="14"/>
  <c r="O23" i="14" s="1"/>
  <c r="R76" i="14"/>
  <c r="O22" i="14" s="1"/>
  <c r="R75" i="14"/>
  <c r="O21" i="14" s="1"/>
  <c r="P67" i="14"/>
  <c r="P61" i="14"/>
  <c r="P62" i="14" s="1"/>
  <c r="P55" i="14"/>
  <c r="Q55" i="14" s="1"/>
  <c r="C25" i="14" s="1"/>
  <c r="C40" i="20" s="1"/>
  <c r="P54" i="14"/>
  <c r="Q54" i="14" s="1"/>
  <c r="C24" i="14" s="1"/>
  <c r="C39" i="20" s="1"/>
  <c r="R53" i="14"/>
  <c r="E23" i="14" s="1"/>
  <c r="P53" i="14"/>
  <c r="Q53" i="14" s="1"/>
  <c r="C23" i="14" s="1"/>
  <c r="C38" i="20" s="1"/>
  <c r="P52" i="14"/>
  <c r="Q52" i="14" s="1"/>
  <c r="P51" i="14"/>
  <c r="Q51" i="14" s="1"/>
  <c r="S50" i="14"/>
  <c r="S53" i="14" s="1"/>
  <c r="F23" i="14" s="1"/>
  <c r="P50" i="14"/>
  <c r="Q50" i="14" s="1"/>
  <c r="C20" i="14" s="1"/>
  <c r="C35" i="20" s="1"/>
  <c r="P49" i="14"/>
  <c r="B103" i="14"/>
  <c r="B104" i="14" s="1"/>
  <c r="P19" i="14" s="1"/>
  <c r="B93" i="14"/>
  <c r="B94" i="14" s="1"/>
  <c r="P18" i="14" s="1"/>
  <c r="B88" i="14"/>
  <c r="B89" i="14" s="1"/>
  <c r="O18" i="14" s="1"/>
  <c r="B83" i="14"/>
  <c r="B84" i="14" s="1"/>
  <c r="O19" i="14" s="1"/>
  <c r="B74" i="14"/>
  <c r="Q19" i="14" s="1"/>
  <c r="L34" i="20" s="1"/>
  <c r="B65" i="14"/>
  <c r="F58" i="20" l="1"/>
  <c r="E58" i="20" s="1"/>
  <c r="N58" i="20"/>
  <c r="L58" i="20" s="1"/>
  <c r="M58" i="20" s="1"/>
  <c r="C66" i="14"/>
  <c r="M19" i="14" s="1"/>
  <c r="J34" i="20" s="1"/>
  <c r="N17" i="17"/>
  <c r="F58" i="17"/>
  <c r="F65" i="17"/>
  <c r="F59" i="17"/>
  <c r="F60" i="17"/>
  <c r="F61" i="17"/>
  <c r="F56" i="17"/>
  <c r="C67" i="23"/>
  <c r="C71" i="23" s="1"/>
  <c r="C93" i="23" s="1"/>
  <c r="Q49" i="14"/>
  <c r="C19" i="14" s="1"/>
  <c r="C34" i="20" s="1"/>
  <c r="P74" i="14"/>
  <c r="Q74" i="14" s="1"/>
  <c r="M20" i="14" s="1"/>
  <c r="J35" i="20" s="1"/>
  <c r="P75" i="14"/>
  <c r="Q75" i="14" s="1"/>
  <c r="M21" i="14" s="1"/>
  <c r="J36" i="20" s="1"/>
  <c r="P76" i="14"/>
  <c r="Q76" i="14" s="1"/>
  <c r="M22" i="14" s="1"/>
  <c r="J37" i="20" s="1"/>
  <c r="P79" i="14"/>
  <c r="Q79" i="14" s="1"/>
  <c r="M25" i="14" s="1"/>
  <c r="J40" i="20" s="1"/>
  <c r="P77" i="14"/>
  <c r="Q77" i="14" s="1"/>
  <c r="M23" i="14" s="1"/>
  <c r="J38" i="20" s="1"/>
  <c r="P78" i="14"/>
  <c r="Q78" i="14" s="1"/>
  <c r="M24" i="14" s="1"/>
  <c r="J39" i="20" s="1"/>
  <c r="P80" i="14"/>
  <c r="Q80" i="14" s="1"/>
  <c r="M26" i="14" s="1"/>
  <c r="J41" i="20" s="1"/>
  <c r="C98" i="23" l="1"/>
  <c r="E29" i="39"/>
  <c r="B64" i="19" l="1"/>
  <c r="B65" i="19" s="1"/>
  <c r="B67" i="19" s="1"/>
  <c r="E22" i="19" s="1"/>
  <c r="E33" i="19" s="1"/>
  <c r="I92" i="26"/>
  <c r="J92" i="26" s="1"/>
  <c r="H73" i="26" s="1"/>
  <c r="I93" i="26"/>
  <c r="J93" i="26" s="1"/>
  <c r="H74" i="26" s="1"/>
  <c r="I94" i="26"/>
  <c r="J94" i="26" s="1"/>
  <c r="H75" i="26" s="1"/>
  <c r="I95" i="26"/>
  <c r="J95" i="26" s="1"/>
  <c r="H76" i="26" s="1"/>
  <c r="I96" i="26"/>
  <c r="J96" i="26" s="1"/>
  <c r="H77" i="26" s="1"/>
  <c r="I97" i="26"/>
  <c r="J97" i="26" s="1"/>
  <c r="H78" i="26" s="1"/>
  <c r="I91" i="26"/>
  <c r="J91" i="26" s="1"/>
  <c r="H72" i="26" s="1"/>
  <c r="I90" i="26"/>
  <c r="J90" i="26" s="1"/>
  <c r="H71" i="26" s="1"/>
  <c r="I89" i="26"/>
  <c r="J89" i="26" s="1"/>
  <c r="H70" i="26" s="1"/>
  <c r="I88" i="26"/>
  <c r="J88" i="26" s="1"/>
  <c r="H69" i="26" s="1"/>
  <c r="I87" i="26"/>
  <c r="J87" i="26" s="1"/>
  <c r="H68" i="26" s="1"/>
  <c r="H13" i="40"/>
  <c r="C13" i="40"/>
  <c r="I37" i="27"/>
  <c r="I38" i="27"/>
  <c r="I39" i="27"/>
  <c r="I40" i="27"/>
  <c r="H42" i="27"/>
  <c r="I42" i="27"/>
  <c r="J42" i="27" s="1"/>
  <c r="H43" i="27"/>
  <c r="I43" i="27"/>
  <c r="H52" i="18"/>
  <c r="I24" i="27"/>
  <c r="I25" i="27"/>
  <c r="I71" i="18"/>
  <c r="I41" i="27" s="1"/>
  <c r="J43" i="27" l="1"/>
  <c r="H66" i="18"/>
  <c r="H65" i="18"/>
  <c r="I57" i="18" l="1"/>
  <c r="I29" i="27" s="1"/>
  <c r="I56" i="18"/>
  <c r="I28" i="27" s="1"/>
  <c r="I54" i="18"/>
  <c r="I26" i="27" s="1"/>
  <c r="I55" i="18"/>
  <c r="I27" i="27" s="1"/>
  <c r="I37" i="18"/>
  <c r="I44" i="18" s="1"/>
  <c r="H36" i="18" l="1"/>
  <c r="H42" i="18"/>
  <c r="H41" i="18"/>
  <c r="H39" i="18"/>
  <c r="H38" i="18"/>
  <c r="H37" i="18"/>
  <c r="D15" i="33"/>
  <c r="P37" i="17" a="1"/>
  <c r="P37" i="17" s="1"/>
  <c r="P36" i="17" a="1"/>
  <c r="P36" i="17" s="1"/>
  <c r="P35" i="17" a="1"/>
  <c r="P35" i="17" s="1"/>
  <c r="G76" i="7"/>
  <c r="F10" i="41" s="1" a="1"/>
  <c r="F10" i="41" s="1"/>
  <c r="F76" i="7"/>
  <c r="D76" i="7"/>
  <c r="O13" i="41"/>
  <c r="O14" i="41"/>
  <c r="O15" i="41"/>
  <c r="O16" i="41"/>
  <c r="O17" i="41"/>
  <c r="O18" i="41"/>
  <c r="O19" i="41"/>
  <c r="O20" i="41"/>
  <c r="O21" i="41"/>
  <c r="O22" i="41"/>
  <c r="O23" i="41"/>
  <c r="O24" i="41"/>
  <c r="O25" i="41"/>
  <c r="O26" i="41"/>
  <c r="O27" i="41"/>
  <c r="O28" i="41"/>
  <c r="O29" i="41"/>
  <c r="O30" i="41"/>
  <c r="O31" i="41"/>
  <c r="O32" i="41"/>
  <c r="O33" i="41"/>
  <c r="O34" i="41"/>
  <c r="N34" i="41"/>
  <c r="N33" i="41"/>
  <c r="N32" i="41"/>
  <c r="N31" i="41"/>
  <c r="N30" i="41"/>
  <c r="N29" i="41"/>
  <c r="N28" i="41"/>
  <c r="N27" i="41"/>
  <c r="N26" i="41"/>
  <c r="N25" i="41"/>
  <c r="N24" i="41"/>
  <c r="N23" i="41"/>
  <c r="N22" i="41"/>
  <c r="N21" i="41"/>
  <c r="N20" i="41"/>
  <c r="N19" i="41"/>
  <c r="N18" i="41"/>
  <c r="N17" i="41"/>
  <c r="N16" i="41"/>
  <c r="N15" i="41"/>
  <c r="N14" i="41"/>
  <c r="N13" i="41"/>
  <c r="O10" i="41" a="1"/>
  <c r="O10" i="41" s="1"/>
  <c r="F14" i="41"/>
  <c r="F15" i="41"/>
  <c r="F16" i="41"/>
  <c r="F17" i="41"/>
  <c r="F18" i="41"/>
  <c r="F19" i="41"/>
  <c r="F20" i="41"/>
  <c r="F21" i="41"/>
  <c r="F22" i="41"/>
  <c r="F23" i="41"/>
  <c r="F24" i="41"/>
  <c r="F25" i="41"/>
  <c r="F26" i="41"/>
  <c r="F27" i="41"/>
  <c r="F28" i="41"/>
  <c r="F29" i="41"/>
  <c r="F30" i="41"/>
  <c r="F31" i="41"/>
  <c r="F32" i="41"/>
  <c r="F33" i="41"/>
  <c r="F34" i="41"/>
  <c r="F13" i="41"/>
  <c r="E14" i="41"/>
  <c r="E15" i="41"/>
  <c r="E16" i="41"/>
  <c r="E17" i="41"/>
  <c r="E18" i="41"/>
  <c r="E19" i="41"/>
  <c r="E20" i="41"/>
  <c r="E21" i="41"/>
  <c r="E22" i="41"/>
  <c r="E23" i="41"/>
  <c r="E24" i="41"/>
  <c r="E25" i="41"/>
  <c r="E26" i="41"/>
  <c r="E27" i="41"/>
  <c r="E28" i="41"/>
  <c r="E29" i="41"/>
  <c r="E30" i="41"/>
  <c r="E31" i="41"/>
  <c r="E32" i="41"/>
  <c r="E33" i="41"/>
  <c r="E34" i="41"/>
  <c r="E33" i="23"/>
  <c r="M33" i="23" s="1"/>
  <c r="F37" i="17" a="1"/>
  <c r="F37" i="17" s="1"/>
  <c r="F36" i="17" a="1"/>
  <c r="F36" i="17" s="1"/>
  <c r="F35" i="17" a="1"/>
  <c r="F35" i="17" s="1"/>
  <c r="E23" i="23"/>
  <c r="M23" i="23" s="1"/>
  <c r="E22" i="23"/>
  <c r="M22" i="23" s="1"/>
  <c r="E21" i="23"/>
  <c r="M21" i="23" s="1"/>
  <c r="Q25" i="17"/>
  <c r="Q24" i="17"/>
  <c r="R24" i="17" s="1"/>
  <c r="Q23" i="17"/>
  <c r="P25" i="17"/>
  <c r="P23" i="17"/>
  <c r="O25" i="17"/>
  <c r="O23" i="17"/>
  <c r="F24" i="17"/>
  <c r="G24" i="17"/>
  <c r="G25" i="17"/>
  <c r="F23" i="17"/>
  <c r="G23" i="17"/>
  <c r="H23" i="17" s="1"/>
  <c r="E24" i="17"/>
  <c r="E23" i="17"/>
  <c r="G21" i="17"/>
  <c r="H21" i="17" s="1"/>
  <c r="R23" i="17"/>
  <c r="R25" i="17"/>
  <c r="Q21" i="17"/>
  <c r="R21" i="17" s="1"/>
  <c r="G79" i="27"/>
  <c r="G80" i="27"/>
  <c r="G81" i="27"/>
  <c r="G82" i="27"/>
  <c r="G83" i="27"/>
  <c r="G84" i="27"/>
  <c r="G99" i="27"/>
  <c r="G102" i="27"/>
  <c r="G103" i="27"/>
  <c r="G104" i="27"/>
  <c r="G105" i="27" l="1"/>
  <c r="G85" i="27"/>
  <c r="H25" i="17"/>
  <c r="C56" i="20"/>
  <c r="J56" i="20"/>
  <c r="H33" i="23"/>
  <c r="H21" i="23"/>
  <c r="H22" i="23"/>
  <c r="H23" i="23"/>
  <c r="T20" i="14"/>
  <c r="O35" i="20" s="1"/>
  <c r="T21" i="14"/>
  <c r="O36" i="20" s="1"/>
  <c r="T22" i="14"/>
  <c r="O37" i="20" s="1"/>
  <c r="T23" i="14"/>
  <c r="O38" i="20" s="1"/>
  <c r="T24" i="14"/>
  <c r="O39" i="20" s="1"/>
  <c r="T25" i="14"/>
  <c r="O40" i="20" s="1"/>
  <c r="T26" i="14"/>
  <c r="O41" i="20" s="1"/>
  <c r="T27" i="14"/>
  <c r="J20" i="14"/>
  <c r="G35" i="20" s="1"/>
  <c r="J21" i="14"/>
  <c r="G36" i="20" s="1"/>
  <c r="J22" i="14"/>
  <c r="G37" i="20" s="1"/>
  <c r="J23" i="14"/>
  <c r="G38" i="20" s="1"/>
  <c r="J24" i="14"/>
  <c r="G39" i="20" s="1"/>
  <c r="J25" i="14"/>
  <c r="G40" i="20" s="1"/>
  <c r="J26" i="14"/>
  <c r="G41" i="20" s="1"/>
  <c r="J27" i="14"/>
  <c r="K46" i="40"/>
  <c r="K47" i="40"/>
  <c r="K45" i="40"/>
  <c r="E46" i="40"/>
  <c r="E47" i="40"/>
  <c r="E45" i="40"/>
  <c r="F19" i="33"/>
  <c r="F20" i="33"/>
  <c r="F21" i="33"/>
  <c r="F22" i="33"/>
  <c r="F23" i="33"/>
  <c r="F24" i="33"/>
  <c r="F25" i="33"/>
  <c r="F26" i="33"/>
  <c r="F27" i="33"/>
  <c r="F28" i="33"/>
  <c r="N26" i="23"/>
  <c r="H23" i="27"/>
  <c r="G12" i="40"/>
  <c r="B12" i="40"/>
  <c r="G11" i="40"/>
  <c r="B11" i="40"/>
  <c r="M16" i="23"/>
  <c r="H16" i="23"/>
  <c r="T18" i="14"/>
  <c r="O33" i="20" s="1"/>
  <c r="S18" i="14"/>
  <c r="R18" i="14"/>
  <c r="I18" i="14"/>
  <c r="H18" i="14"/>
  <c r="G48" i="39"/>
  <c r="C48" i="39"/>
  <c r="H50" i="39"/>
  <c r="G50" i="39"/>
  <c r="G13" i="40" s="1"/>
  <c r="D50" i="39"/>
  <c r="I13" i="40" s="1"/>
  <c r="C50" i="39"/>
  <c r="F15" i="23" s="1"/>
  <c r="C49" i="39"/>
  <c r="C45" i="39"/>
  <c r="G49" i="39"/>
  <c r="M10" i="14" l="1"/>
  <c r="K15" i="23"/>
  <c r="K18" i="23"/>
  <c r="M10" i="17"/>
  <c r="D13" i="40"/>
  <c r="B13" i="40"/>
  <c r="B3" i="30"/>
  <c r="B3" i="29"/>
  <c r="G18" i="17"/>
  <c r="H18" i="17" s="1"/>
  <c r="Q18" i="17"/>
  <c r="R18" i="17" s="1"/>
  <c r="G19" i="17"/>
  <c r="H19" i="17" s="1"/>
  <c r="Q19" i="17"/>
  <c r="R19" i="17" s="1"/>
  <c r="G20" i="17"/>
  <c r="H20" i="17" s="1"/>
  <c r="Q20" i="17"/>
  <c r="R20" i="17" s="1"/>
  <c r="H24" i="17"/>
  <c r="M31" i="33"/>
  <c r="L29" i="33"/>
  <c r="F79" i="26" l="1"/>
  <c r="Q43" i="19"/>
  <c r="Q40" i="19"/>
  <c r="Q39" i="19"/>
  <c r="Q38" i="19"/>
  <c r="Q37" i="19"/>
  <c r="Q35" i="19"/>
  <c r="Q34" i="19"/>
  <c r="Q30" i="19"/>
  <c r="Q29" i="19"/>
  <c r="Q28" i="19"/>
  <c r="Q25" i="19"/>
  <c r="Q24" i="19"/>
  <c r="Q23" i="19"/>
  <c r="M22" i="20"/>
  <c r="F22" i="20"/>
  <c r="F78" i="21"/>
  <c r="F73" i="21"/>
  <c r="E73" i="21"/>
  <c r="F50" i="28"/>
  <c r="P43" i="19"/>
  <c r="H43" i="19"/>
  <c r="G55" i="21"/>
  <c r="G56" i="21" s="1"/>
  <c r="F55" i="21"/>
  <c r="F56" i="21" s="1"/>
  <c r="Q41" i="19" l="1"/>
  <c r="E78" i="21"/>
  <c r="G54" i="21"/>
  <c r="F54" i="21"/>
  <c r="G60" i="16" l="1"/>
  <c r="G75" i="20"/>
  <c r="G74" i="20"/>
  <c r="G73" i="20"/>
  <c r="G72" i="20"/>
  <c r="G71" i="20"/>
  <c r="G70" i="20"/>
  <c r="H38" i="19"/>
  <c r="H39" i="19"/>
  <c r="H40" i="19"/>
  <c r="H37" i="19"/>
  <c r="H34" i="19"/>
  <c r="H35" i="19"/>
  <c r="H28" i="19"/>
  <c r="H29" i="19"/>
  <c r="H30" i="19"/>
  <c r="H23" i="19"/>
  <c r="H24" i="19"/>
  <c r="H25" i="19"/>
  <c r="C53" i="20"/>
  <c r="H41" i="19" l="1"/>
  <c r="B17" i="3"/>
  <c r="B18" i="3"/>
  <c r="B16" i="3"/>
  <c r="J8" i="30"/>
  <c r="I8" i="30"/>
  <c r="G8" i="30"/>
  <c r="F8" i="30"/>
  <c r="D8" i="30"/>
  <c r="C8" i="30"/>
  <c r="Y6" i="30"/>
  <c r="X6" i="30"/>
  <c r="D49" i="30"/>
  <c r="D48" i="30"/>
  <c r="D47" i="30"/>
  <c r="N60" i="29"/>
  <c r="Y48" i="30" s="1"/>
  <c r="M60" i="29"/>
  <c r="Y34" i="30" s="1"/>
  <c r="L60" i="29"/>
  <c r="X48" i="30" s="1"/>
  <c r="K60" i="29"/>
  <c r="K62" i="29" s="1"/>
  <c r="G59" i="29"/>
  <c r="Y41" i="30" s="1"/>
  <c r="G58" i="29"/>
  <c r="Y40" i="30" s="1"/>
  <c r="F59" i="29"/>
  <c r="Y26" i="30" s="1"/>
  <c r="F58" i="29"/>
  <c r="Y25" i="30" s="1"/>
  <c r="E59" i="29"/>
  <c r="X41" i="30" s="1"/>
  <c r="E58" i="29"/>
  <c r="X40" i="30" s="1"/>
  <c r="D59" i="29"/>
  <c r="X26" i="30" s="1"/>
  <c r="D58" i="29"/>
  <c r="D55" i="29"/>
  <c r="F55" i="29"/>
  <c r="F54" i="29"/>
  <c r="Y24" i="30" s="1"/>
  <c r="D54" i="29"/>
  <c r="X31" i="30" s="1"/>
  <c r="P29" i="29"/>
  <c r="M54" i="29" s="1"/>
  <c r="Y45" i="30" s="1"/>
  <c r="O29" i="29"/>
  <c r="K54" i="29" s="1"/>
  <c r="X45" i="30" s="1"/>
  <c r="K30" i="29"/>
  <c r="J30" i="29"/>
  <c r="K29" i="29"/>
  <c r="I29" i="29"/>
  <c r="J29" i="29"/>
  <c r="I30" i="29"/>
  <c r="D22" i="29"/>
  <c r="E29" i="29" s="1"/>
  <c r="Y15" i="30" s="1"/>
  <c r="D21" i="29"/>
  <c r="D29" i="29" s="1"/>
  <c r="X15" i="30" s="1"/>
  <c r="H71" i="28"/>
  <c r="F71" i="28"/>
  <c r="H57" i="28"/>
  <c r="F57" i="28"/>
  <c r="G37" i="28"/>
  <c r="F37" i="28"/>
  <c r="G38" i="28"/>
  <c r="E30" i="29" s="1"/>
  <c r="F38" i="28"/>
  <c r="D30" i="29" s="1"/>
  <c r="D32" i="28"/>
  <c r="E31" i="28"/>
  <c r="E32" i="28" s="1"/>
  <c r="D31" i="28"/>
  <c r="D24" i="28"/>
  <c r="H58" i="28"/>
  <c r="F58" i="28"/>
  <c r="F17" i="29"/>
  <c r="H21" i="29"/>
  <c r="E18" i="29"/>
  <c r="E17" i="29"/>
  <c r="E16" i="29"/>
  <c r="D16" i="29"/>
  <c r="E34" i="29"/>
  <c r="K34" i="29" s="1"/>
  <c r="E35" i="29"/>
  <c r="J35" i="29" s="1"/>
  <c r="E36" i="29"/>
  <c r="J36" i="29" s="1"/>
  <c r="E37" i="29"/>
  <c r="J37" i="29" s="1"/>
  <c r="E38" i="29"/>
  <c r="J38" i="29" s="1"/>
  <c r="E39" i="29"/>
  <c r="K39" i="29" s="1"/>
  <c r="E40" i="29"/>
  <c r="J40" i="29" s="1"/>
  <c r="E33" i="29"/>
  <c r="K33" i="29" s="1"/>
  <c r="D34" i="29"/>
  <c r="I34" i="29" s="1"/>
  <c r="D35" i="29"/>
  <c r="D36" i="29"/>
  <c r="D37" i="29"/>
  <c r="X8" i="30" s="1"/>
  <c r="D38" i="29"/>
  <c r="I38" i="29" s="1"/>
  <c r="D39" i="29"/>
  <c r="X10" i="30" s="1"/>
  <c r="D40" i="29"/>
  <c r="D33" i="29"/>
  <c r="I33" i="29" s="1"/>
  <c r="H22" i="29"/>
  <c r="H23" i="29"/>
  <c r="G22" i="29"/>
  <c r="G23" i="29"/>
  <c r="G21" i="29"/>
  <c r="F22" i="29"/>
  <c r="F23" i="29"/>
  <c r="F21" i="29"/>
  <c r="E22" i="29"/>
  <c r="E23" i="29"/>
  <c r="E21" i="29"/>
  <c r="D23" i="29"/>
  <c r="H14" i="29"/>
  <c r="D13" i="29"/>
  <c r="D12" i="29"/>
  <c r="D11" i="29"/>
  <c r="D10" i="29"/>
  <c r="D9" i="29"/>
  <c r="D8" i="29"/>
  <c r="D7" i="29"/>
  <c r="D6" i="29"/>
  <c r="I63" i="28"/>
  <c r="H63" i="28"/>
  <c r="G63" i="28"/>
  <c r="F63" i="28"/>
  <c r="F51" i="28"/>
  <c r="D42" i="29" s="1"/>
  <c r="D41" i="29"/>
  <c r="X7" i="30" s="1"/>
  <c r="G51" i="28"/>
  <c r="E42" i="29" s="1"/>
  <c r="G50" i="28"/>
  <c r="E41" i="29" s="1"/>
  <c r="Y7" i="30" s="1"/>
  <c r="D25" i="28"/>
  <c r="J17" i="28"/>
  <c r="E10" i="28"/>
  <c r="I31" i="29" s="1"/>
  <c r="E28" i="23"/>
  <c r="M28" i="23" s="1"/>
  <c r="E29" i="23"/>
  <c r="E30" i="23"/>
  <c r="M30" i="23" s="1"/>
  <c r="E17" i="23"/>
  <c r="H17" i="23" s="1"/>
  <c r="E18" i="23"/>
  <c r="H18" i="23" s="1"/>
  <c r="E19" i="23"/>
  <c r="M19" i="23" s="1"/>
  <c r="J54" i="20"/>
  <c r="J53" i="20"/>
  <c r="C57" i="20"/>
  <c r="C55" i="20"/>
  <c r="C54" i="20"/>
  <c r="C52" i="20"/>
  <c r="I35" i="27"/>
  <c r="I36" i="27"/>
  <c r="I34" i="27"/>
  <c r="G35" i="27"/>
  <c r="G36" i="27"/>
  <c r="G37" i="27"/>
  <c r="G38" i="27"/>
  <c r="G39" i="27"/>
  <c r="G40" i="27"/>
  <c r="G41" i="27"/>
  <c r="G42" i="27"/>
  <c r="G43" i="27"/>
  <c r="G34" i="27"/>
  <c r="H29" i="23" l="1"/>
  <c r="M29" i="23"/>
  <c r="H28" i="23"/>
  <c r="H19" i="23"/>
  <c r="H30" i="23"/>
  <c r="M18" i="23"/>
  <c r="M17" i="23"/>
  <c r="O35" i="29"/>
  <c r="O36" i="29"/>
  <c r="D60" i="29"/>
  <c r="Y31" i="30"/>
  <c r="J39" i="29"/>
  <c r="K40" i="29"/>
  <c r="O34" i="29"/>
  <c r="Y39" i="30"/>
  <c r="K35" i="29"/>
  <c r="J34" i="29"/>
  <c r="K37" i="29"/>
  <c r="X34" i="30"/>
  <c r="X39" i="30"/>
  <c r="I40" i="29"/>
  <c r="I39" i="29"/>
  <c r="I35" i="29"/>
  <c r="X42" i="30"/>
  <c r="J33" i="29"/>
  <c r="X9" i="30"/>
  <c r="X11" i="30" s="1"/>
  <c r="Y27" i="30"/>
  <c r="P36" i="29"/>
  <c r="I74" i="28"/>
  <c r="N58" i="29" s="1"/>
  <c r="Y46" i="30" s="1"/>
  <c r="P35" i="29"/>
  <c r="H73" i="28"/>
  <c r="P34" i="29"/>
  <c r="Y10" i="30"/>
  <c r="Y9" i="30"/>
  <c r="X24" i="30"/>
  <c r="I37" i="29"/>
  <c r="Y8" i="30"/>
  <c r="O37" i="29"/>
  <c r="X17" i="30" s="1"/>
  <c r="I36" i="29"/>
  <c r="K38" i="29"/>
  <c r="X25" i="30"/>
  <c r="X27" i="30" s="1"/>
  <c r="K36" i="29"/>
  <c r="F56" i="29"/>
  <c r="F39" i="28"/>
  <c r="D31" i="29" s="1"/>
  <c r="J31" i="29"/>
  <c r="G39" i="28"/>
  <c r="E31" i="29" s="1"/>
  <c r="K31" i="29"/>
  <c r="L8" i="30"/>
  <c r="O31" i="29"/>
  <c r="K56" i="29" s="1"/>
  <c r="M8" i="30"/>
  <c r="O8" i="30"/>
  <c r="P8" i="30"/>
  <c r="R8" i="30"/>
  <c r="S8" i="30"/>
  <c r="I75" i="28"/>
  <c r="N59" i="29" s="1"/>
  <c r="Y47" i="30" s="1"/>
  <c r="O40" i="29"/>
  <c r="F73" i="28"/>
  <c r="O39" i="29"/>
  <c r="X19" i="30" s="1"/>
  <c r="O38" i="29"/>
  <c r="X18" i="30" s="1"/>
  <c r="D56" i="29"/>
  <c r="F72" i="28"/>
  <c r="H72" i="28"/>
  <c r="P33" i="29"/>
  <c r="O30" i="29"/>
  <c r="K55" i="29" s="1"/>
  <c r="P37" i="29"/>
  <c r="F74" i="28"/>
  <c r="K58" i="29" s="1"/>
  <c r="X32" i="30" s="1"/>
  <c r="P31" i="29"/>
  <c r="M56" i="29" s="1"/>
  <c r="F75" i="28"/>
  <c r="P30" i="29"/>
  <c r="M55" i="29" s="1"/>
  <c r="O33" i="29"/>
  <c r="P40" i="29"/>
  <c r="G74" i="28"/>
  <c r="G75" i="28"/>
  <c r="L59" i="29" s="1"/>
  <c r="X47" i="30" s="1"/>
  <c r="H74" i="28"/>
  <c r="M58" i="29" s="1"/>
  <c r="Y32" i="30" s="1"/>
  <c r="P39" i="29"/>
  <c r="Y19" i="30" s="1"/>
  <c r="H75" i="28"/>
  <c r="M59" i="29" s="1"/>
  <c r="Y33" i="30" s="1"/>
  <c r="P38" i="29"/>
  <c r="Y18" i="30" s="1"/>
  <c r="E43" i="29"/>
  <c r="D15" i="29"/>
  <c r="F59" i="28"/>
  <c r="H59" i="28"/>
  <c r="G52" i="28"/>
  <c r="F52" i="28"/>
  <c r="I9" i="27"/>
  <c r="I10" i="27"/>
  <c r="I11" i="27"/>
  <c r="I12" i="27"/>
  <c r="I13" i="27"/>
  <c r="I14" i="27"/>
  <c r="I15" i="27"/>
  <c r="I17" i="27"/>
  <c r="I18" i="27"/>
  <c r="I19" i="27"/>
  <c r="I20" i="27"/>
  <c r="I21" i="27"/>
  <c r="I22" i="27"/>
  <c r="I23" i="27"/>
  <c r="I30" i="27"/>
  <c r="I8" i="27"/>
  <c r="H17" i="27"/>
  <c r="H18" i="27"/>
  <c r="H19" i="27"/>
  <c r="H20" i="27"/>
  <c r="H21" i="27"/>
  <c r="H22" i="27"/>
  <c r="H24" i="27"/>
  <c r="H25" i="27"/>
  <c r="J25" i="27" s="1"/>
  <c r="H26" i="27"/>
  <c r="J26" i="27" s="1"/>
  <c r="H27" i="27"/>
  <c r="J27" i="27" s="1"/>
  <c r="H28" i="27"/>
  <c r="J28" i="27" s="1"/>
  <c r="H29" i="27"/>
  <c r="J29" i="27" s="1"/>
  <c r="H30" i="27"/>
  <c r="G9" i="27"/>
  <c r="G10" i="27"/>
  <c r="G11" i="27"/>
  <c r="G12" i="27"/>
  <c r="G13" i="27"/>
  <c r="G14" i="27"/>
  <c r="G15" i="27"/>
  <c r="G16" i="27"/>
  <c r="G17" i="27"/>
  <c r="G18" i="27"/>
  <c r="G19" i="27"/>
  <c r="G20" i="27"/>
  <c r="G21" i="27"/>
  <c r="G22" i="27"/>
  <c r="G23" i="27"/>
  <c r="G24" i="27"/>
  <c r="G25" i="27"/>
  <c r="G26" i="27"/>
  <c r="G27" i="27"/>
  <c r="G28" i="27"/>
  <c r="G29" i="27"/>
  <c r="G30" i="27"/>
  <c r="G8" i="27"/>
  <c r="F93" i="18"/>
  <c r="F30" i="27" s="1"/>
  <c r="F85" i="18"/>
  <c r="G85" i="18" s="1"/>
  <c r="F34" i="27" s="1"/>
  <c r="F84" i="18"/>
  <c r="G84" i="18" s="1"/>
  <c r="F8" i="27" s="1"/>
  <c r="H68" i="18"/>
  <c r="H38" i="27" s="1"/>
  <c r="J38" i="27" s="1"/>
  <c r="H35" i="27"/>
  <c r="J35" i="27" s="1"/>
  <c r="H71" i="18"/>
  <c r="H41" i="27" s="1"/>
  <c r="J41" i="27" s="1"/>
  <c r="H69" i="18"/>
  <c r="H39" i="27" s="1"/>
  <c r="J39" i="27" s="1"/>
  <c r="H70" i="18"/>
  <c r="H40" i="27" s="1"/>
  <c r="J40" i="27" s="1"/>
  <c r="H67" i="18"/>
  <c r="H37" i="27" s="1"/>
  <c r="J37" i="27" s="1"/>
  <c r="H36" i="27"/>
  <c r="J36" i="27" s="1"/>
  <c r="H64" i="18"/>
  <c r="H34" i="27" s="1"/>
  <c r="H8" i="27"/>
  <c r="H44" i="18"/>
  <c r="H16" i="27" s="1"/>
  <c r="H43" i="18"/>
  <c r="H40" i="18"/>
  <c r="H9" i="27"/>
  <c r="J8" i="27" l="1"/>
  <c r="L33" i="23"/>
  <c r="G33" i="23"/>
  <c r="G22" i="23"/>
  <c r="L22" i="23"/>
  <c r="G28" i="23"/>
  <c r="L28" i="23"/>
  <c r="E27" i="23"/>
  <c r="H27" i="23" s="1"/>
  <c r="E32" i="23"/>
  <c r="E31" i="23"/>
  <c r="J23" i="27"/>
  <c r="E21" i="17"/>
  <c r="J20" i="27"/>
  <c r="J22" i="27"/>
  <c r="O21" i="17" s="1"/>
  <c r="J9" i="27"/>
  <c r="J17" i="27"/>
  <c r="G17" i="23" s="1"/>
  <c r="J21" i="27"/>
  <c r="L29" i="23" s="1"/>
  <c r="M27" i="23"/>
  <c r="I16" i="27"/>
  <c r="J30" i="27"/>
  <c r="Q17" i="17"/>
  <c r="G17" i="17"/>
  <c r="H17" i="17" s="1"/>
  <c r="E15" i="23"/>
  <c r="H15" i="23" s="1"/>
  <c r="G22" i="17"/>
  <c r="H22" i="17" s="1"/>
  <c r="Q22" i="17"/>
  <c r="R22" i="17" s="1"/>
  <c r="E20" i="23"/>
  <c r="J19" i="27"/>
  <c r="O19" i="17" s="1"/>
  <c r="J18" i="27"/>
  <c r="L19" i="23"/>
  <c r="G19" i="23"/>
  <c r="J42" i="29"/>
  <c r="I41" i="29"/>
  <c r="K41" i="29"/>
  <c r="O41" i="29"/>
  <c r="X16" i="30" s="1"/>
  <c r="X20" i="30" s="1"/>
  <c r="J41" i="29"/>
  <c r="H77" i="28"/>
  <c r="O42" i="29"/>
  <c r="K42" i="29"/>
  <c r="P41" i="29"/>
  <c r="Y16" i="30" s="1"/>
  <c r="I42" i="29"/>
  <c r="Y11" i="30"/>
  <c r="P42" i="29"/>
  <c r="Y17" i="30"/>
  <c r="Y35" i="30"/>
  <c r="F77" i="28"/>
  <c r="K59" i="29"/>
  <c r="G77" i="28"/>
  <c r="L58" i="29"/>
  <c r="X46" i="30" s="1"/>
  <c r="I77" i="28"/>
  <c r="H15" i="27"/>
  <c r="J15" i="27" s="1"/>
  <c r="H14" i="27"/>
  <c r="J14" i="27" s="1"/>
  <c r="E25" i="17" s="1"/>
  <c r="H13" i="27"/>
  <c r="J13" i="27" s="1"/>
  <c r="H12" i="27"/>
  <c r="J12" i="27" s="1"/>
  <c r="H11" i="27"/>
  <c r="J11" i="27" s="1"/>
  <c r="H10" i="27"/>
  <c r="J10" i="27" s="1"/>
  <c r="E18" i="17" l="1"/>
  <c r="O18" i="17"/>
  <c r="H26" i="17"/>
  <c r="O17" i="17"/>
  <c r="E17" i="17"/>
  <c r="N52" i="20"/>
  <c r="M32" i="23"/>
  <c r="H32" i="23"/>
  <c r="G30" i="23"/>
  <c r="I30" i="23" s="1"/>
  <c r="L30" i="23"/>
  <c r="I22" i="23"/>
  <c r="M31" i="23"/>
  <c r="H31" i="23"/>
  <c r="L27" i="23"/>
  <c r="J34" i="27"/>
  <c r="L21" i="23"/>
  <c r="G21" i="23"/>
  <c r="L18" i="23"/>
  <c r="N18" i="23" s="1"/>
  <c r="O20" i="17"/>
  <c r="O22" i="17"/>
  <c r="L20" i="23"/>
  <c r="G23" i="23"/>
  <c r="O24" i="17"/>
  <c r="L23" i="23"/>
  <c r="E20" i="17"/>
  <c r="L17" i="23"/>
  <c r="G29" i="23"/>
  <c r="G18" i="23"/>
  <c r="E19" i="17"/>
  <c r="G20" i="23"/>
  <c r="I20" i="23" s="1"/>
  <c r="M15" i="23"/>
  <c r="G15" i="23"/>
  <c r="I15" i="23" s="1"/>
  <c r="L15" i="23"/>
  <c r="N15" i="23" s="1"/>
  <c r="E22" i="17"/>
  <c r="F57" i="20" s="1"/>
  <c r="E57" i="20" s="1"/>
  <c r="J16" i="27"/>
  <c r="H20" i="23"/>
  <c r="M20" i="23"/>
  <c r="G16" i="23"/>
  <c r="L16" i="23"/>
  <c r="I43" i="29"/>
  <c r="P43" i="29"/>
  <c r="Y20" i="30"/>
  <c r="K61" i="29"/>
  <c r="X33" i="30"/>
  <c r="X35" i="30" s="1"/>
  <c r="N34" i="23" l="1"/>
  <c r="F52" i="20"/>
  <c r="B28" i="40"/>
  <c r="H34" i="23"/>
  <c r="H35" i="23" s="1"/>
  <c r="G32" i="23"/>
  <c r="L32" i="23"/>
  <c r="L31" i="23"/>
  <c r="G31" i="23"/>
  <c r="G27" i="23"/>
  <c r="I23" i="23"/>
  <c r="I21" i="23"/>
  <c r="M34" i="23"/>
  <c r="M35" i="23" s="1"/>
  <c r="H36" i="26"/>
  <c r="G36" i="26"/>
  <c r="F36" i="26"/>
  <c r="F55" i="20" l="1"/>
  <c r="I32" i="23"/>
  <c r="I34" i="23" s="1"/>
  <c r="I36" i="26"/>
  <c r="J36" i="26" s="1"/>
  <c r="K30" i="27" s="1"/>
  <c r="G57" i="26"/>
  <c r="G58" i="26"/>
  <c r="G59" i="26"/>
  <c r="G60" i="26"/>
  <c r="G61" i="26"/>
  <c r="G62" i="26"/>
  <c r="G63" i="26"/>
  <c r="G56" i="26"/>
  <c r="G69" i="26"/>
  <c r="G55" i="27" s="1"/>
  <c r="E19" i="33" s="1" a="1"/>
  <c r="E19" i="33" s="1"/>
  <c r="G70" i="26"/>
  <c r="G71" i="26"/>
  <c r="G57" i="27" s="1"/>
  <c r="E21" i="33" s="1" a="1"/>
  <c r="E21" i="33" s="1"/>
  <c r="G72" i="26"/>
  <c r="G58" i="27" s="1"/>
  <c r="E22" i="33" s="1" a="1"/>
  <c r="E22" i="33" s="1"/>
  <c r="G73" i="26"/>
  <c r="G59" i="27" s="1"/>
  <c r="E23" i="33" s="1" a="1"/>
  <c r="E23" i="33" s="1"/>
  <c r="G74" i="26"/>
  <c r="G75" i="26"/>
  <c r="G76" i="26"/>
  <c r="G77" i="26"/>
  <c r="G78" i="26"/>
  <c r="G64" i="27" s="1"/>
  <c r="E28" i="33" s="1" a="1"/>
  <c r="E28" i="33" s="1"/>
  <c r="G68" i="26"/>
  <c r="G54" i="27" s="1"/>
  <c r="Y46" i="25"/>
  <c r="X46" i="25"/>
  <c r="Y40" i="25"/>
  <c r="X40" i="25"/>
  <c r="M56" i="24"/>
  <c r="F76" i="20"/>
  <c r="F89" i="20" s="1"/>
  <c r="M76" i="20"/>
  <c r="M89" i="20" s="1"/>
  <c r="Q37" i="17"/>
  <c r="Q36" i="17"/>
  <c r="Q35" i="17"/>
  <c r="G37" i="17"/>
  <c r="G36" i="17"/>
  <c r="G35" i="17"/>
  <c r="E47" i="16"/>
  <c r="E49" i="16"/>
  <c r="E46" i="16"/>
  <c r="D46" i="16"/>
  <c r="R27" i="14"/>
  <c r="R26" i="14"/>
  <c r="R25" i="14"/>
  <c r="R24" i="14"/>
  <c r="R23" i="14"/>
  <c r="R22" i="14"/>
  <c r="R21" i="14"/>
  <c r="R20" i="14"/>
  <c r="R19" i="14"/>
  <c r="H19" i="14"/>
  <c r="H20" i="14"/>
  <c r="H21" i="14"/>
  <c r="H22" i="14"/>
  <c r="H23" i="14"/>
  <c r="H24" i="14"/>
  <c r="H25" i="14"/>
  <c r="H26" i="14"/>
  <c r="H27" i="14"/>
  <c r="I48" i="26"/>
  <c r="J48" i="26" s="1"/>
  <c r="K38" i="27" s="1"/>
  <c r="I47" i="26"/>
  <c r="J47" i="26" s="1"/>
  <c r="K35" i="27" s="1"/>
  <c r="I43" i="26"/>
  <c r="J43" i="26" s="1"/>
  <c r="I46" i="26"/>
  <c r="J46" i="26" s="1"/>
  <c r="K42" i="27" s="1"/>
  <c r="I45" i="26"/>
  <c r="J45" i="26" s="1"/>
  <c r="K37" i="27" s="1"/>
  <c r="I44" i="26"/>
  <c r="J44" i="26" s="1"/>
  <c r="K36" i="27" s="1"/>
  <c r="I34" i="26"/>
  <c r="J34" i="26" s="1"/>
  <c r="K22" i="27" s="1"/>
  <c r="I35" i="26"/>
  <c r="J35" i="26" s="1"/>
  <c r="K24" i="27" s="1"/>
  <c r="K43" i="27" s="1"/>
  <c r="I33" i="26"/>
  <c r="J33" i="26" s="1"/>
  <c r="K25" i="27" s="1"/>
  <c r="I32" i="26"/>
  <c r="J32" i="26" s="1"/>
  <c r="K23" i="27" s="1"/>
  <c r="I31" i="26"/>
  <c r="J31" i="26" s="1"/>
  <c r="I30" i="26"/>
  <c r="J30" i="26" s="1"/>
  <c r="K20" i="27" s="1"/>
  <c r="I29" i="26"/>
  <c r="J29" i="26" s="1"/>
  <c r="K19" i="27" s="1"/>
  <c r="P19" i="17" s="1"/>
  <c r="I28" i="26"/>
  <c r="J28" i="26" s="1"/>
  <c r="K18" i="27" s="1"/>
  <c r="I27" i="26"/>
  <c r="J27" i="26" s="1"/>
  <c r="I20" i="26"/>
  <c r="J20" i="26" s="1"/>
  <c r="K10" i="27" s="1"/>
  <c r="F18" i="17" s="1"/>
  <c r="I21" i="26"/>
  <c r="J21" i="26" s="1"/>
  <c r="K11" i="27" s="1"/>
  <c r="I22" i="26"/>
  <c r="J22" i="26" s="1"/>
  <c r="K12" i="27" s="1"/>
  <c r="I23" i="26"/>
  <c r="J23" i="26" s="1"/>
  <c r="K13" i="27" s="1"/>
  <c r="I24" i="26"/>
  <c r="J24" i="26" s="1"/>
  <c r="K14" i="27" s="1"/>
  <c r="F25" i="17" s="1"/>
  <c r="I25" i="26"/>
  <c r="J25" i="26" s="1"/>
  <c r="K15" i="27" s="1"/>
  <c r="K40" i="27" s="1"/>
  <c r="I26" i="26"/>
  <c r="J26" i="26" s="1"/>
  <c r="K16" i="27" s="1"/>
  <c r="I19" i="26"/>
  <c r="J19" i="26" s="1"/>
  <c r="P18" i="17" l="1"/>
  <c r="K41" i="27"/>
  <c r="D33" i="23" s="1"/>
  <c r="K39" i="27"/>
  <c r="D28" i="23" s="1"/>
  <c r="P21" i="17"/>
  <c r="F21" i="17"/>
  <c r="D16" i="23"/>
  <c r="O16" i="23" s="1"/>
  <c r="D21" i="23"/>
  <c r="D23" i="23"/>
  <c r="P24" i="17"/>
  <c r="G56" i="27"/>
  <c r="E20" i="33" s="1" a="1"/>
  <c r="E20" i="33" s="1"/>
  <c r="G63" i="27"/>
  <c r="E27" i="33" s="1" a="1"/>
  <c r="E27" i="33" s="1"/>
  <c r="G62" i="27"/>
  <c r="E26" i="33" s="1" a="1"/>
  <c r="E26" i="33" s="1"/>
  <c r="G61" i="27"/>
  <c r="E25" i="33" s="1" a="1"/>
  <c r="E25" i="33" s="1"/>
  <c r="G60" i="27"/>
  <c r="H82" i="26"/>
  <c r="F22" i="17"/>
  <c r="D29" i="23"/>
  <c r="K17" i="27"/>
  <c r="K9" i="27"/>
  <c r="K21" i="27"/>
  <c r="P20" i="17" s="1"/>
  <c r="N62" i="29"/>
  <c r="D20" i="23"/>
  <c r="G38" i="17"/>
  <c r="Q38" i="17"/>
  <c r="E50" i="16"/>
  <c r="J28" i="23" l="1"/>
  <c r="O28" i="23"/>
  <c r="O23" i="23"/>
  <c r="J23" i="23"/>
  <c r="J21" i="23"/>
  <c r="O21" i="23"/>
  <c r="J16" i="23"/>
  <c r="O33" i="23"/>
  <c r="J33" i="23"/>
  <c r="G65" i="27"/>
  <c r="E24" i="33" a="1"/>
  <c r="E24" i="33" s="1"/>
  <c r="E18" i="33" a="1"/>
  <c r="E18" i="33" s="1"/>
  <c r="D17" i="23"/>
  <c r="O17" i="23" s="1"/>
  <c r="F19" i="17"/>
  <c r="F59" i="20"/>
  <c r="O29" i="23"/>
  <c r="J29" i="23"/>
  <c r="O20" i="23"/>
  <c r="J20" i="23"/>
  <c r="F20" i="17"/>
  <c r="D30" i="23"/>
  <c r="D18" i="23"/>
  <c r="O18" i="23" s="1"/>
  <c r="K27" i="27"/>
  <c r="K29" i="27"/>
  <c r="D22" i="23" s="1"/>
  <c r="K26" i="27"/>
  <c r="K28" i="27"/>
  <c r="O22" i="23" l="1"/>
  <c r="J22" i="23"/>
  <c r="J17" i="23"/>
  <c r="F31" i="33"/>
  <c r="E29" i="33"/>
  <c r="D19" i="23"/>
  <c r="O30" i="23"/>
  <c r="J30" i="23"/>
  <c r="J18" i="23"/>
  <c r="K34" i="27" l="1"/>
  <c r="K8" i="27"/>
  <c r="P17" i="17"/>
  <c r="D32" i="23"/>
  <c r="D27" i="23"/>
  <c r="D15" i="23"/>
  <c r="J15" i="23" s="1"/>
  <c r="F17" i="17"/>
  <c r="J17" i="17" s="1"/>
  <c r="J19" i="23"/>
  <c r="O19" i="23"/>
  <c r="G48" i="16"/>
  <c r="G47" i="16"/>
  <c r="G46" i="16"/>
  <c r="S27" i="14"/>
  <c r="S26" i="14"/>
  <c r="S25" i="14"/>
  <c r="S24" i="14"/>
  <c r="S23" i="14"/>
  <c r="S22" i="14"/>
  <c r="S21" i="14"/>
  <c r="S20" i="14"/>
  <c r="S19" i="14"/>
  <c r="I19" i="14"/>
  <c r="I20" i="14"/>
  <c r="I21" i="14"/>
  <c r="I22" i="14"/>
  <c r="I23" i="14"/>
  <c r="I24" i="14"/>
  <c r="I25" i="14"/>
  <c r="I26" i="14"/>
  <c r="I27" i="14"/>
  <c r="D48" i="25"/>
  <c r="D47" i="25"/>
  <c r="D46" i="25"/>
  <c r="Y15" i="25"/>
  <c r="X15" i="25"/>
  <c r="Y32" i="25"/>
  <c r="X32" i="25"/>
  <c r="Y25" i="25"/>
  <c r="X25" i="25"/>
  <c r="Y5" i="25"/>
  <c r="X5" i="25"/>
  <c r="K56" i="24"/>
  <c r="M54" i="24"/>
  <c r="K54" i="24"/>
  <c r="F56" i="24"/>
  <c r="D56" i="24"/>
  <c r="F54" i="24"/>
  <c r="D54" i="24"/>
  <c r="E17" i="24"/>
  <c r="E15" i="24"/>
  <c r="E16" i="24"/>
  <c r="P30" i="24"/>
  <c r="O30" i="24"/>
  <c r="P28" i="24"/>
  <c r="O28" i="24"/>
  <c r="K30" i="24"/>
  <c r="K28" i="24"/>
  <c r="J30" i="24"/>
  <c r="I30" i="24"/>
  <c r="J28" i="24"/>
  <c r="I28" i="24"/>
  <c r="E30" i="24"/>
  <c r="D30" i="24"/>
  <c r="D28" i="24"/>
  <c r="E28" i="24"/>
  <c r="C22" i="11"/>
  <c r="G21" i="24"/>
  <c r="J40" i="24"/>
  <c r="I40" i="24"/>
  <c r="O22" i="19"/>
  <c r="T17" i="17" l="1"/>
  <c r="T26" i="17" s="1"/>
  <c r="J26" i="17"/>
  <c r="E59" i="24" s="1"/>
  <c r="D31" i="23"/>
  <c r="O31" i="23" s="1"/>
  <c r="J31" i="23"/>
  <c r="O32" i="23"/>
  <c r="J32" i="23"/>
  <c r="O15" i="23"/>
  <c r="O27" i="23"/>
  <c r="J27" i="23"/>
  <c r="M60" i="24"/>
  <c r="G50" i="16"/>
  <c r="G59" i="16" s="1"/>
  <c r="G49" i="16"/>
  <c r="M9" i="14"/>
  <c r="D22" i="11"/>
  <c r="C20" i="11"/>
  <c r="O34" i="23" l="1"/>
  <c r="O35" i="23" s="1"/>
  <c r="J34" i="23"/>
  <c r="J35" i="23" s="1"/>
  <c r="I7" i="25"/>
  <c r="J7" i="25"/>
  <c r="C7" i="25"/>
  <c r="F55" i="24"/>
  <c r="G25" i="20"/>
  <c r="D7" i="25"/>
  <c r="D55" i="24"/>
  <c r="H46" i="19"/>
  <c r="G7" i="25"/>
  <c r="F61" i="20"/>
  <c r="O44" i="20"/>
  <c r="O25" i="20"/>
  <c r="G44" i="20"/>
  <c r="O92" i="20"/>
  <c r="O78" i="20"/>
  <c r="Q46" i="19"/>
  <c r="G92" i="20"/>
  <c r="D29" i="24"/>
  <c r="E29" i="24"/>
  <c r="G78" i="20"/>
  <c r="F7" i="25"/>
  <c r="N61" i="20"/>
  <c r="N60" i="24" l="1"/>
  <c r="L62" i="29"/>
  <c r="D15" i="24"/>
  <c r="N71" i="20"/>
  <c r="O71" i="20" s="1"/>
  <c r="N72" i="20"/>
  <c r="O72" i="20" s="1"/>
  <c r="N73" i="20"/>
  <c r="O73" i="20" s="1"/>
  <c r="N74" i="20"/>
  <c r="O74" i="20" s="1"/>
  <c r="N75" i="20"/>
  <c r="O75" i="20" s="1"/>
  <c r="O40" i="19"/>
  <c r="P40" i="19" s="1"/>
  <c r="O39" i="19"/>
  <c r="P39" i="19" s="1"/>
  <c r="O38" i="19"/>
  <c r="P38" i="19" s="1"/>
  <c r="O37" i="19"/>
  <c r="O35" i="19"/>
  <c r="P35" i="19" s="1"/>
  <c r="O34" i="19"/>
  <c r="O33" i="19"/>
  <c r="O32" i="19"/>
  <c r="O30" i="19"/>
  <c r="P30" i="19" s="1"/>
  <c r="O29" i="19"/>
  <c r="P29" i="19" s="1"/>
  <c r="O28" i="19"/>
  <c r="P28" i="19" s="1"/>
  <c r="O27" i="19"/>
  <c r="O25" i="19"/>
  <c r="P25" i="19" s="1"/>
  <c r="O24" i="19"/>
  <c r="P24" i="19" s="1"/>
  <c r="O23" i="19"/>
  <c r="P23" i="19" s="1"/>
  <c r="G23" i="19"/>
  <c r="G24" i="19"/>
  <c r="G25" i="19"/>
  <c r="G27" i="19"/>
  <c r="G28" i="19"/>
  <c r="G29" i="19"/>
  <c r="G30" i="19"/>
  <c r="G32" i="19"/>
  <c r="G33" i="19"/>
  <c r="G34" i="19"/>
  <c r="G35" i="19"/>
  <c r="G37" i="19"/>
  <c r="G38" i="19"/>
  <c r="G39" i="19"/>
  <c r="G40" i="19"/>
  <c r="G22" i="19"/>
  <c r="F16" i="24"/>
  <c r="D14" i="24"/>
  <c r="H13" i="24"/>
  <c r="M14" i="23"/>
  <c r="H14" i="23"/>
  <c r="J14" i="23" s="1"/>
  <c r="O41" i="19" l="1"/>
  <c r="J35" i="24" s="1"/>
  <c r="O31" i="19"/>
  <c r="J33" i="24" s="1"/>
  <c r="G41" i="19"/>
  <c r="I35" i="24" s="1"/>
  <c r="M23" i="20"/>
  <c r="K60" i="24"/>
  <c r="L60" i="24"/>
  <c r="M62" i="29"/>
  <c r="N62" i="24"/>
  <c r="Y49" i="25"/>
  <c r="D16" i="24"/>
  <c r="D17" i="24" s="1"/>
  <c r="O29" i="24" s="1"/>
  <c r="O36" i="19"/>
  <c r="J34" i="24" s="1"/>
  <c r="P34" i="19"/>
  <c r="G31" i="19"/>
  <c r="I33" i="24" s="1"/>
  <c r="G26" i="19"/>
  <c r="O26" i="19"/>
  <c r="P37" i="19"/>
  <c r="P41" i="19" s="1"/>
  <c r="G36" i="19"/>
  <c r="I34" i="24" s="1"/>
  <c r="S42" i="30" l="1"/>
  <c r="X49" i="25"/>
  <c r="S41" i="25" s="1"/>
  <c r="O42" i="19"/>
  <c r="O44" i="19" s="1"/>
  <c r="G42" i="19"/>
  <c r="G44" i="19" s="1"/>
  <c r="I32" i="24"/>
  <c r="X35" i="25"/>
  <c r="M62" i="24"/>
  <c r="P42" i="30"/>
  <c r="M55" i="24"/>
  <c r="S7" i="25"/>
  <c r="K35" i="24"/>
  <c r="L62" i="24"/>
  <c r="P7" i="25"/>
  <c r="M7" i="25"/>
  <c r="P29" i="24"/>
  <c r="J32" i="24"/>
  <c r="J36" i="24" l="1"/>
  <c r="J41" i="24" s="1"/>
  <c r="I36" i="24"/>
  <c r="I41" i="24" s="1"/>
  <c r="K62" i="24"/>
  <c r="Y35" i="25"/>
  <c r="P41" i="25" s="1"/>
  <c r="R7" i="25"/>
  <c r="O7" i="25"/>
  <c r="L7" i="25"/>
  <c r="K55" i="24"/>
  <c r="K84" i="20" l="1"/>
  <c r="D84" i="20"/>
  <c r="G45" i="21"/>
  <c r="G57" i="21" s="1"/>
  <c r="G58" i="21" s="1"/>
  <c r="F45" i="21"/>
  <c r="F57" i="21" s="1"/>
  <c r="F58" i="21" s="1"/>
  <c r="K11" i="20"/>
  <c r="K12" i="20"/>
  <c r="D12" i="20"/>
  <c r="J11" i="20"/>
  <c r="D11" i="20"/>
  <c r="C11" i="20"/>
  <c r="J10" i="20"/>
  <c r="C10" i="20"/>
  <c r="J9" i="20"/>
  <c r="C9" i="20"/>
  <c r="M15" i="19"/>
  <c r="L15" i="19"/>
  <c r="D15" i="19"/>
  <c r="D11" i="19"/>
  <c r="E15" i="19"/>
  <c r="G61" i="21" l="1"/>
  <c r="G59" i="21"/>
  <c r="G60" i="21" s="1"/>
  <c r="F61" i="21"/>
  <c r="F62" i="21" s="1"/>
  <c r="F63" i="21" s="1"/>
  <c r="F59" i="21"/>
  <c r="F60" i="21" s="1"/>
  <c r="G62" i="21"/>
  <c r="G63" i="21" s="1"/>
  <c r="D78" i="21" s="1"/>
  <c r="G78" i="21" s="1"/>
  <c r="F23" i="20"/>
  <c r="F86" i="20" s="1"/>
  <c r="M86" i="20"/>
  <c r="F64" i="21" l="1"/>
  <c r="D73" i="21"/>
  <c r="G73" i="21" s="1"/>
  <c r="I39" i="24"/>
  <c r="E35" i="24"/>
  <c r="P35" i="24" s="1"/>
  <c r="D35" i="24"/>
  <c r="O35" i="24" s="1"/>
  <c r="J39" i="24"/>
  <c r="G64" i="21"/>
  <c r="G65" i="21" l="1"/>
  <c r="G66" i="21"/>
  <c r="F65" i="21"/>
  <c r="F66" i="21"/>
  <c r="M43" i="30"/>
  <c r="L11" i="19"/>
  <c r="K11" i="19"/>
  <c r="K15" i="19" s="1"/>
  <c r="J12" i="20" s="1"/>
  <c r="C11" i="19"/>
  <c r="K10" i="19"/>
  <c r="C10" i="19"/>
  <c r="K9" i="19"/>
  <c r="C9" i="19"/>
  <c r="N10" i="17"/>
  <c r="M9" i="17"/>
  <c r="M8" i="17"/>
  <c r="D10" i="17"/>
  <c r="C10" i="17"/>
  <c r="C9" i="17"/>
  <c r="C8" i="17"/>
  <c r="F33" i="20" l="1"/>
  <c r="N70" i="20"/>
  <c r="O70" i="20" s="1"/>
  <c r="H32" i="19"/>
  <c r="H33" i="19"/>
  <c r="P33" i="19"/>
  <c r="P32" i="19"/>
  <c r="M41" i="20"/>
  <c r="M33" i="20"/>
  <c r="N33" i="20" s="1"/>
  <c r="M38" i="20"/>
  <c r="M40" i="20"/>
  <c r="M35" i="20"/>
  <c r="N35" i="20" s="1"/>
  <c r="M39" i="20"/>
  <c r="M37" i="20"/>
  <c r="N37" i="20" s="1"/>
  <c r="M36" i="20"/>
  <c r="N36" i="20" s="1"/>
  <c r="L54" i="20"/>
  <c r="M54" i="20" s="1"/>
  <c r="L53" i="20"/>
  <c r="M53" i="20" s="1"/>
  <c r="L52" i="20"/>
  <c r="Q33" i="19"/>
  <c r="Q32" i="19"/>
  <c r="L56" i="20"/>
  <c r="M56" i="20" s="1"/>
  <c r="Q22" i="19"/>
  <c r="Q26" i="19" s="1"/>
  <c r="E32" i="24" s="1"/>
  <c r="M44" i="20"/>
  <c r="O46" i="19"/>
  <c r="M78" i="20"/>
  <c r="J29" i="24"/>
  <c r="L61" i="20"/>
  <c r="M25" i="20"/>
  <c r="M92" i="20"/>
  <c r="Q27" i="19"/>
  <c r="Q31" i="19" s="1"/>
  <c r="K29" i="24"/>
  <c r="G22" i="20"/>
  <c r="G23" i="20" s="1"/>
  <c r="G86" i="20" s="1"/>
  <c r="G69" i="20"/>
  <c r="G76" i="20" s="1"/>
  <c r="G89" i="20" s="1"/>
  <c r="E55" i="20"/>
  <c r="E54" i="20"/>
  <c r="E52" i="20"/>
  <c r="E53" i="20"/>
  <c r="E56" i="20"/>
  <c r="P22" i="19"/>
  <c r="P26" i="19" s="1"/>
  <c r="P46" i="19"/>
  <c r="I29" i="24"/>
  <c r="F92" i="20"/>
  <c r="F44" i="20"/>
  <c r="N25" i="20"/>
  <c r="F78" i="20"/>
  <c r="M61" i="20"/>
  <c r="E61" i="20"/>
  <c r="F25" i="20"/>
  <c r="N78" i="20"/>
  <c r="N92" i="20"/>
  <c r="G46" i="19"/>
  <c r="N44" i="20"/>
  <c r="N69" i="20"/>
  <c r="F37" i="20"/>
  <c r="H22" i="19"/>
  <c r="H26" i="19" s="1"/>
  <c r="F35" i="20"/>
  <c r="P27" i="19"/>
  <c r="P31" i="19" s="1"/>
  <c r="K33" i="24" s="1"/>
  <c r="F36" i="20"/>
  <c r="N22" i="20"/>
  <c r="H27" i="19"/>
  <c r="H31" i="19" s="1"/>
  <c r="D33" i="24" s="1"/>
  <c r="O33" i="24" s="1"/>
  <c r="C12" i="20"/>
  <c r="M40" i="30"/>
  <c r="P36" i="19" l="1"/>
  <c r="K34" i="24" s="1"/>
  <c r="Q36" i="19"/>
  <c r="E34" i="24" s="1"/>
  <c r="P34" i="24" s="1"/>
  <c r="H36" i="19"/>
  <c r="D34" i="24" s="1"/>
  <c r="O34" i="24" s="1"/>
  <c r="E59" i="20"/>
  <c r="O22" i="20"/>
  <c r="O23" i="20" s="1"/>
  <c r="O86" i="20" s="1"/>
  <c r="N23" i="20"/>
  <c r="N86" i="20" s="1"/>
  <c r="K39" i="24" s="1"/>
  <c r="X10" i="25"/>
  <c r="D40" i="24"/>
  <c r="O40" i="24" s="1"/>
  <c r="X20" i="25" s="1"/>
  <c r="D43" i="30"/>
  <c r="X9" i="25"/>
  <c r="D39" i="24"/>
  <c r="O39" i="24" s="1"/>
  <c r="X19" i="25" s="1"/>
  <c r="E33" i="24"/>
  <c r="P33" i="24" s="1"/>
  <c r="P32" i="24"/>
  <c r="D32" i="24"/>
  <c r="H42" i="19"/>
  <c r="H44" i="19" s="1"/>
  <c r="O69" i="20"/>
  <c r="O76" i="20" s="1"/>
  <c r="O89" i="20" s="1"/>
  <c r="N76" i="20"/>
  <c r="N89" i="20" s="1"/>
  <c r="K40" i="24" s="1"/>
  <c r="P42" i="19"/>
  <c r="P44" i="19" s="1"/>
  <c r="K32" i="24"/>
  <c r="D40" i="30"/>
  <c r="N55" i="20"/>
  <c r="L55" i="20" s="1"/>
  <c r="J55" i="20"/>
  <c r="J57" i="20"/>
  <c r="N57" i="20"/>
  <c r="L57" i="20" s="1"/>
  <c r="J52" i="20"/>
  <c r="L59" i="24"/>
  <c r="D59" i="24"/>
  <c r="K59" i="24" s="1"/>
  <c r="G88" i="20"/>
  <c r="F60" i="16"/>
  <c r="D49" i="16"/>
  <c r="F49" i="16" s="1"/>
  <c r="D48" i="16"/>
  <c r="F48" i="16" s="1"/>
  <c r="D47" i="16"/>
  <c r="F47" i="16" s="1"/>
  <c r="Q42" i="19" l="1"/>
  <c r="Q44" i="19" s="1"/>
  <c r="Y6" i="25" s="1"/>
  <c r="K36" i="24"/>
  <c r="K41" i="24" s="1"/>
  <c r="E36" i="24"/>
  <c r="E41" i="24" s="1"/>
  <c r="O32" i="24"/>
  <c r="D36" i="24"/>
  <c r="D41" i="24" s="1"/>
  <c r="P36" i="24"/>
  <c r="Y10" i="25"/>
  <c r="E40" i="24"/>
  <c r="P40" i="24" s="1"/>
  <c r="Y20" i="25" s="1"/>
  <c r="B34" i="40"/>
  <c r="X6" i="25"/>
  <c r="Y9" i="25"/>
  <c r="D42" i="25" s="1"/>
  <c r="E39" i="24"/>
  <c r="P39" i="24" s="1"/>
  <c r="Y19" i="25" s="1"/>
  <c r="M42" i="25" s="1"/>
  <c r="M57" i="20"/>
  <c r="X34" i="25"/>
  <c r="H28" i="40"/>
  <c r="M55" i="20"/>
  <c r="F88" i="20"/>
  <c r="X42" i="25"/>
  <c r="X27" i="25"/>
  <c r="D38" i="24"/>
  <c r="X8" i="25"/>
  <c r="D50" i="16"/>
  <c r="F50" i="16" s="1"/>
  <c r="F59" i="16" s="1"/>
  <c r="F46" i="16"/>
  <c r="O36" i="24" l="1"/>
  <c r="O41" i="24" s="1"/>
  <c r="P41" i="24"/>
  <c r="Y16" i="25" s="1"/>
  <c r="H34" i="40"/>
  <c r="B35" i="40" s="1"/>
  <c r="O38" i="24"/>
  <c r="X18" i="25" s="1"/>
  <c r="B40" i="40"/>
  <c r="D39" i="25"/>
  <c r="B29" i="40"/>
  <c r="N59" i="20"/>
  <c r="O88" i="20" s="1"/>
  <c r="D42" i="30" s="1"/>
  <c r="I38" i="24"/>
  <c r="X48" i="25"/>
  <c r="N41" i="20"/>
  <c r="N40" i="20"/>
  <c r="N39" i="20"/>
  <c r="N38" i="20"/>
  <c r="T19" i="14"/>
  <c r="O34" i="20" s="1"/>
  <c r="M34" i="20" s="1"/>
  <c r="N34" i="20" s="1"/>
  <c r="F41" i="20"/>
  <c r="F40" i="20"/>
  <c r="F39" i="20"/>
  <c r="F38" i="20"/>
  <c r="J19" i="14"/>
  <c r="G34" i="20" s="1"/>
  <c r="N10" i="14"/>
  <c r="R28" i="14"/>
  <c r="D10" i="14"/>
  <c r="C10" i="14"/>
  <c r="H28" i="14" s="1"/>
  <c r="C9" i="14"/>
  <c r="M8" i="14"/>
  <c r="C8" i="14"/>
  <c r="E8" i="11"/>
  <c r="F23" i="11"/>
  <c r="E23" i="11"/>
  <c r="D21" i="11"/>
  <c r="D20" i="11"/>
  <c r="C21" i="11"/>
  <c r="X16" i="25" l="1"/>
  <c r="M39" i="25" s="1"/>
  <c r="G42" i="20"/>
  <c r="F34" i="20"/>
  <c r="F42" i="20" s="1"/>
  <c r="F87" i="20" s="1"/>
  <c r="F58" i="24"/>
  <c r="M58" i="24" s="1"/>
  <c r="M52" i="20"/>
  <c r="M59" i="20" s="1"/>
  <c r="N88" i="20" s="1"/>
  <c r="L59" i="20"/>
  <c r="M88" i="20" s="1"/>
  <c r="F59" i="24"/>
  <c r="M59" i="24" s="1"/>
  <c r="G59" i="24"/>
  <c r="N59" i="24" s="1"/>
  <c r="I28" i="14"/>
  <c r="D58" i="24"/>
  <c r="K58" i="24" s="1"/>
  <c r="S28" i="14"/>
  <c r="J28" i="14"/>
  <c r="B31" i="40" s="1"/>
  <c r="H33" i="7"/>
  <c r="H34" i="7"/>
  <c r="H35" i="7"/>
  <c r="H36" i="7"/>
  <c r="H37" i="7"/>
  <c r="H38" i="7"/>
  <c r="H39" i="7"/>
  <c r="H40" i="7"/>
  <c r="H41" i="7"/>
  <c r="H42" i="7"/>
  <c r="H43" i="7"/>
  <c r="H44" i="7"/>
  <c r="H45" i="7"/>
  <c r="H46" i="7"/>
  <c r="H47" i="7"/>
  <c r="H48" i="7"/>
  <c r="H49" i="7"/>
  <c r="H32" i="7"/>
  <c r="G33" i="7"/>
  <c r="G34" i="7"/>
  <c r="G35" i="7"/>
  <c r="G36" i="7"/>
  <c r="G37" i="7"/>
  <c r="G38" i="7"/>
  <c r="G39" i="7"/>
  <c r="G40" i="7"/>
  <c r="G41" i="7"/>
  <c r="G42" i="7"/>
  <c r="G43" i="7"/>
  <c r="G44" i="7"/>
  <c r="G45" i="7"/>
  <c r="G46" i="7"/>
  <c r="G47" i="7"/>
  <c r="G48" i="7"/>
  <c r="G49" i="7"/>
  <c r="G32" i="7"/>
  <c r="F33" i="7"/>
  <c r="F34" i="7"/>
  <c r="F35" i="7"/>
  <c r="F36" i="7"/>
  <c r="F37" i="7"/>
  <c r="F38" i="7"/>
  <c r="F39" i="7"/>
  <c r="F40" i="7"/>
  <c r="F41" i="7"/>
  <c r="F42" i="7"/>
  <c r="F43" i="7"/>
  <c r="F44" i="7"/>
  <c r="F45" i="7"/>
  <c r="F46" i="7"/>
  <c r="F47" i="7"/>
  <c r="F48" i="7"/>
  <c r="F49" i="7"/>
  <c r="F32" i="7"/>
  <c r="E33" i="7"/>
  <c r="E34" i="7"/>
  <c r="E35" i="7"/>
  <c r="E36" i="7"/>
  <c r="E37" i="7"/>
  <c r="E38" i="7"/>
  <c r="E39" i="7"/>
  <c r="E40" i="7"/>
  <c r="E41" i="7"/>
  <c r="E42" i="7"/>
  <c r="E43" i="7"/>
  <c r="E44" i="7"/>
  <c r="E45" i="7"/>
  <c r="E46" i="7"/>
  <c r="E47" i="7"/>
  <c r="E48" i="7"/>
  <c r="E49" i="7"/>
  <c r="E32" i="7"/>
  <c r="D33" i="7"/>
  <c r="D34" i="7"/>
  <c r="D35" i="7"/>
  <c r="D36" i="7"/>
  <c r="D37" i="7"/>
  <c r="D38" i="7"/>
  <c r="D39" i="7"/>
  <c r="D40" i="7"/>
  <c r="D41" i="7"/>
  <c r="D42" i="7"/>
  <c r="D43" i="7"/>
  <c r="D44" i="7"/>
  <c r="D45" i="7"/>
  <c r="D46" i="7"/>
  <c r="D47" i="7"/>
  <c r="D48" i="7"/>
  <c r="D49" i="7"/>
  <c r="D32" i="7"/>
  <c r="H50" i="7"/>
  <c r="S41" i="30" l="1"/>
  <c r="J41" i="30"/>
  <c r="P41" i="30"/>
  <c r="G41" i="30"/>
  <c r="X33" i="25"/>
  <c r="E58" i="24"/>
  <c r="L58" i="24" s="1"/>
  <c r="T28" i="14"/>
  <c r="H31" i="40" s="1"/>
  <c r="B32" i="40" s="1"/>
  <c r="G58" i="24"/>
  <c r="N58" i="24" s="1"/>
  <c r="F60" i="29"/>
  <c r="Y27" i="25"/>
  <c r="G40" i="25" s="1"/>
  <c r="Y42" i="25"/>
  <c r="E38" i="24"/>
  <c r="Y8" i="25"/>
  <c r="D41" i="25" s="1"/>
  <c r="Y26" i="25"/>
  <c r="X26" i="25"/>
  <c r="P38" i="24" l="1"/>
  <c r="Y18" i="25" s="1"/>
  <c r="M41" i="25" s="1"/>
  <c r="H40" i="40"/>
  <c r="B41" i="40" s="1"/>
  <c r="O42" i="20"/>
  <c r="O87" i="20" s="1"/>
  <c r="Y7" i="25" s="1"/>
  <c r="Y11" i="25" s="1"/>
  <c r="AA10" i="25" s="1"/>
  <c r="P40" i="30"/>
  <c r="P43" i="30" s="1"/>
  <c r="F9" i="30"/>
  <c r="Z26" i="30"/>
  <c r="Z25" i="30"/>
  <c r="Z32" i="30"/>
  <c r="Z34" i="30"/>
  <c r="O9" i="30"/>
  <c r="Z33" i="30"/>
  <c r="J40" i="30"/>
  <c r="J42" i="30" s="1"/>
  <c r="Y42" i="30"/>
  <c r="Z41" i="30"/>
  <c r="Z40" i="30"/>
  <c r="I9" i="30"/>
  <c r="G40" i="30"/>
  <c r="G42" i="30" s="1"/>
  <c r="M42" i="30"/>
  <c r="G60" i="24"/>
  <c r="Y34" i="25"/>
  <c r="P40" i="25" s="1"/>
  <c r="Y41" i="25"/>
  <c r="Y43" i="25" s="1"/>
  <c r="G60" i="29"/>
  <c r="X49" i="30"/>
  <c r="X41" i="25"/>
  <c r="X43" i="25" s="1"/>
  <c r="E60" i="24"/>
  <c r="E60" i="29"/>
  <c r="G87" i="20"/>
  <c r="J40" i="25"/>
  <c r="Y48" i="25"/>
  <c r="J38" i="24"/>
  <c r="X28" i="25"/>
  <c r="Y28" i="25"/>
  <c r="G39" i="25"/>
  <c r="G41" i="25" s="1"/>
  <c r="M61" i="24"/>
  <c r="M63" i="24" s="1"/>
  <c r="Y33" i="25"/>
  <c r="P39" i="25" s="1"/>
  <c r="X36" i="25"/>
  <c r="K61" i="24"/>
  <c r="K63" i="24" s="1"/>
  <c r="D60" i="24"/>
  <c r="F60" i="24"/>
  <c r="E37" i="24" l="1"/>
  <c r="P37" i="24" s="1"/>
  <c r="Y17" i="25" s="1"/>
  <c r="Y21" i="25" s="1"/>
  <c r="AA20" i="25" s="1"/>
  <c r="O90" i="20"/>
  <c r="H37" i="40" s="1"/>
  <c r="H21" i="40" s="1"/>
  <c r="H23" i="40" s="1"/>
  <c r="P42" i="25"/>
  <c r="Z10" i="30"/>
  <c r="C9" i="30"/>
  <c r="Z9" i="30"/>
  <c r="Z8" i="30"/>
  <c r="Z7" i="30"/>
  <c r="Z48" i="30"/>
  <c r="R9" i="30"/>
  <c r="Z47" i="30"/>
  <c r="Z46" i="30"/>
  <c r="O35" i="30"/>
  <c r="O36" i="30" s="1"/>
  <c r="AA34" i="30"/>
  <c r="P9" i="30"/>
  <c r="AA33" i="30"/>
  <c r="AA32" i="30"/>
  <c r="Y47" i="25"/>
  <c r="N61" i="24"/>
  <c r="N63" i="24" s="1"/>
  <c r="F35" i="30"/>
  <c r="F36" i="30" s="1"/>
  <c r="AA26" i="30"/>
  <c r="AA25" i="30"/>
  <c r="G9" i="30"/>
  <c r="D9" i="30"/>
  <c r="AA9" i="30"/>
  <c r="AA8" i="30"/>
  <c r="AA7" i="30"/>
  <c r="C35" i="30"/>
  <c r="C36" i="30" s="1"/>
  <c r="AA10" i="30"/>
  <c r="AA41" i="30"/>
  <c r="I35" i="30"/>
  <c r="I36" i="30" s="1"/>
  <c r="AA40" i="30"/>
  <c r="J9" i="30"/>
  <c r="D41" i="30"/>
  <c r="D44" i="30" s="1"/>
  <c r="D43" i="29"/>
  <c r="Z42" i="25"/>
  <c r="Z41" i="25"/>
  <c r="I8" i="25"/>
  <c r="J43" i="29"/>
  <c r="K43" i="29"/>
  <c r="J39" i="25"/>
  <c r="J41" i="25" s="1"/>
  <c r="X47" i="25"/>
  <c r="X50" i="25" s="1"/>
  <c r="L61" i="24"/>
  <c r="L63" i="24" s="1"/>
  <c r="Z34" i="25"/>
  <c r="Z35" i="25"/>
  <c r="Z33" i="25"/>
  <c r="X7" i="25"/>
  <c r="G90" i="20"/>
  <c r="K38" i="24"/>
  <c r="S40" i="25"/>
  <c r="AA41" i="25"/>
  <c r="J8" i="25"/>
  <c r="AA42" i="25"/>
  <c r="I34" i="25"/>
  <c r="I35" i="25" s="1"/>
  <c r="Z26" i="25"/>
  <c r="Z27" i="25"/>
  <c r="AA26" i="25"/>
  <c r="AA27" i="25"/>
  <c r="AA7" i="25"/>
  <c r="AA8" i="25"/>
  <c r="AA9" i="25"/>
  <c r="AA6" i="25"/>
  <c r="D37" i="24"/>
  <c r="O37" i="24" s="1"/>
  <c r="F8" i="25"/>
  <c r="D8" i="25"/>
  <c r="F34" i="25"/>
  <c r="F35" i="25" s="1"/>
  <c r="G8" i="25"/>
  <c r="C68" i="24"/>
  <c r="G69" i="24" s="1"/>
  <c r="Y36" i="25"/>
  <c r="O8" i="25"/>
  <c r="Y50" i="25" l="1"/>
  <c r="R34" i="25" s="1"/>
  <c r="R35" i="25" s="1"/>
  <c r="S39" i="25"/>
  <c r="S42" i="25" s="1"/>
  <c r="B37" i="40"/>
  <c r="P42" i="24"/>
  <c r="P43" i="24" s="1"/>
  <c r="E42" i="24"/>
  <c r="E43" i="24" s="1"/>
  <c r="D40" i="25"/>
  <c r="D43" i="25" s="1"/>
  <c r="X11" i="25"/>
  <c r="Z10" i="25" s="1"/>
  <c r="I37" i="24"/>
  <c r="I42" i="24" s="1"/>
  <c r="I43" i="24" s="1"/>
  <c r="F90" i="20"/>
  <c r="D42" i="24"/>
  <c r="D43" i="24" s="1"/>
  <c r="C71" i="24"/>
  <c r="C72" i="24" s="1"/>
  <c r="Y49" i="30"/>
  <c r="S40" i="30"/>
  <c r="S43" i="30" s="1"/>
  <c r="Z48" i="25"/>
  <c r="Z47" i="25"/>
  <c r="R8" i="25"/>
  <c r="Z49" i="25"/>
  <c r="O34" i="25"/>
  <c r="O35" i="25" s="1"/>
  <c r="AA34" i="25"/>
  <c r="AA35" i="25"/>
  <c r="AA33" i="25"/>
  <c r="AA19" i="25"/>
  <c r="AA16" i="25"/>
  <c r="AA18" i="25"/>
  <c r="AA17" i="25"/>
  <c r="C69" i="24"/>
  <c r="M8" i="25"/>
  <c r="P8" i="25"/>
  <c r="AA47" i="25" l="1"/>
  <c r="AA49" i="25"/>
  <c r="AA48" i="25"/>
  <c r="S8" i="25"/>
  <c r="B38" i="40"/>
  <c r="B21" i="40"/>
  <c r="B23" i="40" s="1"/>
  <c r="Z7" i="25"/>
  <c r="Z9" i="25"/>
  <c r="Z6" i="25"/>
  <c r="Z8" i="25"/>
  <c r="C34" i="25"/>
  <c r="C35" i="25" s="1"/>
  <c r="C8" i="25"/>
  <c r="R35" i="30"/>
  <c r="R36" i="30" s="1"/>
  <c r="AA48" i="30"/>
  <c r="S9" i="30"/>
  <c r="AA47" i="30"/>
  <c r="AA46" i="30"/>
  <c r="AA16" i="30"/>
  <c r="AA19" i="30"/>
  <c r="AA18" i="30"/>
  <c r="M9" i="30"/>
  <c r="AA17" i="30"/>
  <c r="X17" i="25"/>
  <c r="X21" i="25" s="1"/>
  <c r="Z20" i="25" s="1"/>
  <c r="O42" i="24"/>
  <c r="O43" i="24" s="1"/>
  <c r="C47" i="24" s="1"/>
  <c r="G48" i="24" s="1"/>
  <c r="L35" i="30" l="1"/>
  <c r="M41" i="30"/>
  <c r="M44" i="30" s="1"/>
  <c r="M40" i="25"/>
  <c r="M43" i="25" s="1"/>
  <c r="C48" i="24"/>
  <c r="L35" i="25"/>
  <c r="L34" i="25"/>
  <c r="Z19" i="25"/>
  <c r="Z17" i="25"/>
  <c r="Z16" i="25"/>
  <c r="Z18" i="25"/>
  <c r="L8" i="25"/>
  <c r="D17" i="29"/>
  <c r="D18" i="29" s="1"/>
  <c r="Z17" i="30" l="1"/>
  <c r="Z16" i="30"/>
  <c r="Z19" i="30"/>
  <c r="Z18" i="30"/>
  <c r="L9" i="30"/>
  <c r="L36" i="30"/>
  <c r="M61" i="29"/>
  <c r="M63" i="29" s="1"/>
  <c r="L61" i="29"/>
  <c r="L63" i="29" s="1"/>
  <c r="K63" i="29"/>
  <c r="N61" i="29"/>
  <c r="N63" i="29" s="1"/>
  <c r="O43" i="29"/>
  <c r="C47" i="29" s="1"/>
  <c r="C68" i="29" l="1"/>
  <c r="G69" i="29" s="1"/>
  <c r="C71" i="29"/>
  <c r="C72" i="29" s="1"/>
  <c r="C69" i="29"/>
  <c r="G48" i="29"/>
  <c r="C48" i="29"/>
  <c r="M42" i="20" l="1"/>
  <c r="M87" i="20" s="1"/>
  <c r="N42" i="20"/>
  <c r="N87" i="20" s="1"/>
  <c r="K37" i="24" l="1"/>
  <c r="K42" i="24" s="1"/>
  <c r="K43" i="24" s="1"/>
  <c r="N90" i="20"/>
  <c r="M90" i="20"/>
  <c r="J37" i="24"/>
  <c r="J42" i="24" s="1"/>
  <c r="J43" i="24" s="1"/>
  <c r="B22" i="4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Heather Liddell</author>
  </authors>
  <commentList>
    <comment ref="C36" authorId="0" shapeId="0" xr:uid="{0DE42D4F-C463-43E3-91B1-A7930E395E7A}">
      <text>
        <r>
          <rPr>
            <b/>
            <sz val="9"/>
            <color indexed="81"/>
            <rFont val="Tahoma"/>
            <family val="2"/>
          </rPr>
          <t>Heather Liddell:</t>
        </r>
        <r>
          <rPr>
            <sz val="9"/>
            <color indexed="81"/>
            <rFont val="Tahoma"/>
            <family val="2"/>
          </rPr>
          <t xml:space="preserve">
Examples of raw materials impact: higher yield process, reduced waste, use of recycled or waste material as feedstock, lightweighting, use of a lower embodied energy material, etc.
</t>
        </r>
      </text>
    </comment>
    <comment ref="C37" authorId="0" shapeId="0" xr:uid="{02694FD7-A54A-48F9-A745-9BF11342BA26}">
      <text>
        <r>
          <rPr>
            <b/>
            <sz val="9"/>
            <color indexed="81"/>
            <rFont val="Tahoma"/>
            <family val="2"/>
          </rPr>
          <t>Heather Liddell:</t>
        </r>
        <r>
          <rPr>
            <sz val="9"/>
            <color indexed="81"/>
            <rFont val="Tahoma"/>
            <family val="2"/>
          </rPr>
          <t xml:space="preserve">
Examples of manufacturing impact: higher-efficiency equipment, carbon capture, avoidance of process emissions, etc.</t>
        </r>
      </text>
    </comment>
    <comment ref="C38" authorId="0" shapeId="0" xr:uid="{AFCAD6A6-81E9-46D3-945D-4F01E836D852}">
      <text>
        <r>
          <rPr>
            <b/>
            <sz val="9"/>
            <color indexed="81"/>
            <rFont val="Tahoma"/>
            <family val="2"/>
          </rPr>
          <t>Heather Liddell:</t>
        </r>
        <r>
          <rPr>
            <sz val="9"/>
            <color indexed="81"/>
            <rFont val="Tahoma"/>
            <family val="2"/>
          </rPr>
          <t xml:space="preserve">
Examples of use phase impact: products that are more energy-efficient, have lower energy to transport or dispose, enable increased use of renewable energy sources, etc.
</t>
        </r>
      </text>
    </comment>
    <comment ref="C41" authorId="0" shapeId="0" xr:uid="{D3E8D780-760C-42EA-AF0D-800CE293F0B4}">
      <text>
        <r>
          <rPr>
            <b/>
            <sz val="9"/>
            <color indexed="81"/>
            <rFont val="Tahoma"/>
            <family val="2"/>
          </rPr>
          <t>Heather Liddell:</t>
        </r>
        <r>
          <rPr>
            <sz val="9"/>
            <color indexed="81"/>
            <rFont val="Tahoma"/>
            <family val="2"/>
          </rPr>
          <t xml:space="preserve">
Examples of capital equipment cost savings: downsized equipment, lower cost equipment, modular/intensified equipment, longer lasting equipment, etc.</t>
        </r>
      </text>
    </comment>
    <comment ref="C42" authorId="0" shapeId="0" xr:uid="{8B3B7F71-49C7-445F-8EC1-65C8D5FD4C3E}">
      <text>
        <r>
          <rPr>
            <b/>
            <sz val="9"/>
            <color indexed="81"/>
            <rFont val="Tahoma"/>
            <family val="2"/>
          </rPr>
          <t>Heather Liddell:</t>
        </r>
        <r>
          <rPr>
            <sz val="9"/>
            <color indexed="81"/>
            <rFont val="Tahoma"/>
            <family val="2"/>
          </rPr>
          <t xml:space="preserve">
Examples of materials cost savings: less material required, less costly materials required</t>
        </r>
      </text>
    </comment>
    <comment ref="C43" authorId="0" shapeId="0" xr:uid="{81C56A06-C898-4F4D-AF14-43E26BBAC550}">
      <text>
        <r>
          <rPr>
            <b/>
            <sz val="9"/>
            <color indexed="81"/>
            <rFont val="Tahoma"/>
            <family val="2"/>
          </rPr>
          <t>Heather Liddell:</t>
        </r>
        <r>
          <rPr>
            <sz val="9"/>
            <color indexed="81"/>
            <rFont val="Tahoma"/>
            <family val="2"/>
          </rPr>
          <t xml:space="preserve">
Examples of energy cost savings: higher energy efficiency equipment, waste heat recovery, etc.</t>
        </r>
      </text>
    </comment>
    <comment ref="C44" authorId="0" shapeId="0" xr:uid="{2E7BEC95-5E5A-4DBB-9A6C-FB4CFF6D8EEF}">
      <text>
        <r>
          <rPr>
            <b/>
            <sz val="9"/>
            <color indexed="81"/>
            <rFont val="Tahoma"/>
            <family val="2"/>
          </rPr>
          <t>Heather Liddell:</t>
        </r>
        <r>
          <rPr>
            <sz val="9"/>
            <color indexed="81"/>
            <rFont val="Tahoma"/>
            <family val="2"/>
          </rPr>
          <t xml:space="preserve">
Examples of labor cost reduction: greater automation, simplified process with fewer process units, lower skill required to operate,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Steen, Jordan</author>
  </authors>
  <commentList>
    <comment ref="B54" authorId="0" shapeId="0" xr:uid="{5836BA0E-B6AE-4D65-8E0D-C5913F4CDF99}">
      <text>
        <r>
          <rPr>
            <b/>
            <sz val="9"/>
            <color indexed="81"/>
            <rFont val="Tahoma"/>
            <family val="2"/>
          </rPr>
          <t>Steen, Jordan:</t>
        </r>
        <r>
          <rPr>
            <sz val="9"/>
            <color indexed="81"/>
            <rFont val="Tahoma"/>
            <family val="2"/>
          </rPr>
          <t xml:space="preserve">
The 5th version had Annex 3. But that didn't exsist from the 6th.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Steen, Jordan</author>
  </authors>
  <commentList>
    <comment ref="I44" authorId="0" shapeId="0" xr:uid="{D48B4975-900C-4FE1-8560-D36A267B41C3}">
      <text>
        <r>
          <rPr>
            <b/>
            <sz val="9"/>
            <color indexed="81"/>
            <rFont val="Tahoma"/>
            <family val="2"/>
          </rPr>
          <t>Steen, Jordan:</t>
        </r>
        <r>
          <rPr>
            <sz val="9"/>
            <color indexed="81"/>
            <rFont val="Tahoma"/>
            <family val="2"/>
          </rPr>
          <t xml:space="preserve">
Taken as average of other Petrolium Fuels
</t>
        </r>
      </text>
    </comment>
    <comment ref="I48" authorId="0" shapeId="0" xr:uid="{83A9B0FF-204E-46FB-A1C4-D3900974D7B0}">
      <text>
        <r>
          <rPr>
            <b/>
            <sz val="9"/>
            <color indexed="81"/>
            <rFont val="Tahoma"/>
            <family val="2"/>
          </rPr>
          <t>Steen, Jordan:</t>
        </r>
        <r>
          <rPr>
            <sz val="9"/>
            <color indexed="81"/>
            <rFont val="Tahoma"/>
            <family val="2"/>
          </rPr>
          <t xml:space="preserve">
This number was 30.84 in the old data set, but when double checked that number was 219.26</t>
        </r>
      </text>
    </comment>
    <comment ref="E52" authorId="0" shapeId="0" xr:uid="{4238348B-DE84-4050-A4F3-2594AD7ADEC5}">
      <text>
        <r>
          <rPr>
            <b/>
            <sz val="9"/>
            <color indexed="81"/>
            <rFont val="Tahoma"/>
            <family val="2"/>
          </rPr>
          <t>Steen, Jordan:</t>
        </r>
        <r>
          <rPr>
            <sz val="9"/>
            <color indexed="81"/>
            <rFont val="Tahoma"/>
            <family val="2"/>
          </rPr>
          <t xml:space="preserve">
Data not avalible in tables provided looked up cost of ethanol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<sst xmlns="http://schemas.openxmlformats.org/spreadsheetml/2006/main" count="3187" uniqueCount="1532">
  <si>
    <t>U.S. DEPARTMENT OF ENERGY (DOE) OFFICE OF ENERGY EFFICIENCY AND RENEWABLE ENERGY (EERE)</t>
  </si>
  <si>
    <t>Techno-economic, Energy &amp; Carbon Heuristic Tool for Early Stage Technologies (TECHTEST)</t>
  </si>
  <si>
    <t>Version 1.0</t>
  </si>
  <si>
    <t>Release: February 19, 2023</t>
  </si>
  <si>
    <t>What can I expect from TECHTEST?</t>
  </si>
  <si>
    <t xml:space="preserve">•	TECHTEST is a tool that collects specific categorical cost, energy, and emissions data about a new technology and the associated benchmark technology for comparison. 
•	TECHTEST will develop a series of charts and tables that will project the economic and sustainable viability of the product compared to its comparable current market technology.
There are two ways to fill out TECHTEST: </t>
  </si>
  <si>
    <t>•	Full Analytical Approach: Review each section of the lifecycle separately, enter more granular data. (Recommended for first time users)</t>
  </si>
  <si>
    <t xml:space="preserve">•	Rapid Data Entry Approach: Abbreviated approach, little to no explanation of steps. (Recommended for multiple scenario testing) </t>
  </si>
  <si>
    <t>TECHTEST Data</t>
  </si>
  <si>
    <t>•TECHTEST utilizes CO2-e and costs associated with materials and energy sources to fill out the back end of the calculation. The cost vectors and corresponding sources can be found in the link below:</t>
  </si>
  <si>
    <t>Link to energy/cost data tables.</t>
  </si>
  <si>
    <t>Link to global warming potential data tables</t>
  </si>
  <si>
    <t>External Resources</t>
  </si>
  <si>
    <t>LCA Tutorials</t>
  </si>
  <si>
    <t>TEA Tutorials</t>
  </si>
  <si>
    <t>(Coming Soon) Techtest Tutorials</t>
  </si>
  <si>
    <t>(Coming Soon) More Resources</t>
  </si>
  <si>
    <t>Worksheet Fill Key</t>
  </si>
  <si>
    <r>
      <t>Blue Cells:</t>
    </r>
    <r>
      <rPr>
        <sz val="10"/>
        <rFont val="Franklin Gothic Medium"/>
        <family val="2"/>
      </rPr>
      <t xml:space="preserve"> User input - text or numerical</t>
    </r>
  </si>
  <si>
    <r>
      <t xml:space="preserve">Yellow Cells: </t>
    </r>
    <r>
      <rPr>
        <sz val="10"/>
        <rFont val="Franklin Gothic Medium"/>
        <family val="2"/>
      </rPr>
      <t>User input - select from dropdown</t>
    </r>
  </si>
  <si>
    <r>
      <t xml:space="preserve">Purple Cells: </t>
    </r>
    <r>
      <rPr>
        <sz val="10"/>
        <rFont val="Franklin Gothic Medium"/>
        <family val="2"/>
      </rPr>
      <t>Default data based on EIA sector averages or standard assumptions (can be user modified if more specific data are available)</t>
    </r>
  </si>
  <si>
    <r>
      <t xml:space="preserve">Other Cells: </t>
    </r>
    <r>
      <rPr>
        <sz val="10"/>
        <rFont val="Franklin Gothic Medium"/>
        <family val="2"/>
      </rPr>
      <t>Not intended for editing</t>
    </r>
  </si>
  <si>
    <t>Method 1. Full Analytical Approach</t>
  </si>
  <si>
    <t xml:space="preserve">This method generates results from scratch, starting with source data. This is the recommended method for most users who are starting from scratch. If you are beginning with a complete cost, energy, and emissions analysis in another format and simply need to "port" data into the IPA template, you can consider the Rapid Data Entry Approach.
To estimate the potential cost &amp; environmental impacts of a new technology, complete all green input tabs. You will input data for both the new technology (being developed in this project) and for the commercial benchmark technology (that you will be comparing to). Follow the instructions provided to enter data in cells that are shaded blue (text or numeric entry) or gold (dropdown menu selection).  Be as complete and specific as possible in your data entries. Document assumptions, references, calculations, and estimation methods used.
It works best to complete tabs in order from left to right - but it is OK to fill them out of order, if needed. If filling tabs out-of-order, follow instructions carefully to enter certain data points in earlier tabs as needed, rather than over-writing formulae in the sheet. This will avoid problems with duplicate data entries, cell reference errors, and named variables. Data should be entered ONLY in the blue and gold cells.
</t>
  </si>
  <si>
    <t>Data input tabs for the Full Analytical Approach are linked below:</t>
  </si>
  <si>
    <t>Project Basics &amp; Benchmarks (Tier 1)</t>
  </si>
  <si>
    <t>Market (Tier 2)</t>
  </si>
  <si>
    <t>Functional Unit (Tier 2)</t>
  </si>
  <si>
    <t>Raw Materials (Including: Embodied Energy, Emissions, and Costs (Tier 2))</t>
  </si>
  <si>
    <t>Manufacturing Energy (Manufacturing Phase Energy &amp; Emissions (Tier 2))</t>
  </si>
  <si>
    <t>Use Phase Energy (Energy andEmissions (Tier 2))</t>
  </si>
  <si>
    <t>Grid Mix</t>
  </si>
  <si>
    <t>CapEx (Tier 2)</t>
  </si>
  <si>
    <t>OpEx (Tier 2)</t>
  </si>
  <si>
    <t xml:space="preserve">As data fields in the input tabs are filled, summary result tables and plots will automatically start to appear in the two results output tabs (shaded navy blue). In these tabs, the new technology will be compared head-to-head with the commercial benchmark technology on an energy and cost basis. After completing all of the Input tabs, you can scroll through the Summary Results Output tabs to view results summaries in tabular and graphical "dashboard" formats.
Notes that the accuracy of the generated tables and plots depends on the completeness of data in the Input tabs. After reviewing, you may wish to go back to the input tabs to add further detail and improve the quality of the results.
</t>
  </si>
  <si>
    <t>The results summary output tabs for the Full Analytical Approach are linked below:</t>
  </si>
  <si>
    <t>Results Summary Tables</t>
  </si>
  <si>
    <t>Graphical Results Dashboard</t>
  </si>
  <si>
    <t>Method 2. Rapid Data Entry Approach</t>
  </si>
  <si>
    <t>The Rapid Data Entry Approach, which requires high-level data entries only, is intended for users who have already completed an analysis in another format, but wish to quickly "port" results into TECHTEST to generate results tables and dashboards in the IPA format.</t>
  </si>
  <si>
    <t>It is also possible to mix-and-match the two approaches by partially completing the Rapid Data Entry sheet using available data, then making more detailed calculations in appropriate tabs of the Full Analytical Approach to estimate missing data. Results from Full Analytical tabs can be copied and pasted (as values) into appropriate cells of the Rapid Data Entry Approach to populate a complete dataset.</t>
  </si>
  <si>
    <t>To estimate the potential cost &amp; environmental impacts of a new technology, first complete the two light-green Tier 1 data input tabs, also used in Method 1 (Project Basics and Benchmarks, and Performance Metrics). Then, skip ahead to the orange "Rapid Data Input" tab for Method 2. In this sheet, you will input high-level cost, energy, and emissions data for both the new technology (being developed in this project) and for the commercial benchmark technology (that you will be comparing to). Follow the instructions provided to enter data in cells that are shaded blue.  Be as complete and specific as possible in your data entries. Document assumptions, references, calculations, and estimation methods used.</t>
  </si>
  <si>
    <t>Data input tabs for the Rapid Data Entry Method are linked below:</t>
  </si>
  <si>
    <t>Project Basics and Benchmarks (Tier 1)</t>
  </si>
  <si>
    <t>Rapid Data Input Sheet for Method 2 (Tier 2)</t>
  </si>
  <si>
    <t xml:space="preserve">As data fields in the input tabs are filled, summary result tables and plots will automatically start to appear in the Method 2 results output tabs (shaded deep red). In these tabs, the new technology will be compared head-to-head with the commercial benchmark technology on an energy and cost basis - in the same format as Method 1.
Notes that the accuracy of the generated tables and plots depends on the completeness of data in the Input tabs. After reviewing, you may wish to go back to the input tabs to add further detail and improve the quality of the results.
</t>
  </si>
  <si>
    <t>The results summary output tabs for the Rapid Data Entry Approach are linked below:</t>
  </si>
  <si>
    <t>Results Summary Tables (Method 2)</t>
  </si>
  <si>
    <t>Graphical Results Dashboard (Method 2)</t>
  </si>
  <si>
    <t>Return to Full Entry Home Page</t>
  </si>
  <si>
    <t>Return to Rapid Data Entry Home Page</t>
  </si>
  <si>
    <t>Project &amp; Technology Description</t>
  </si>
  <si>
    <t>Project Title</t>
  </si>
  <si>
    <t>Waste Heat Recovery Cooling in Beverage Manufacturing</t>
  </si>
  <si>
    <t>Lead Organization</t>
  </si>
  <si>
    <t>Hypothetical Organization</t>
  </si>
  <si>
    <t>Collaborative Partner(s)</t>
  </si>
  <si>
    <t>Staff</t>
  </si>
  <si>
    <t>Principal Investigator Name</t>
  </si>
  <si>
    <t>John Doe</t>
  </si>
  <si>
    <t>Principal Investigator Organization</t>
  </si>
  <si>
    <t>Hypotentical National Laboratory</t>
  </si>
  <si>
    <t>AMO Technology Manager</t>
  </si>
  <si>
    <t>Jane Doe</t>
  </si>
  <si>
    <t>Project Start</t>
  </si>
  <si>
    <t>Project End</t>
  </si>
  <si>
    <t>Funding Mechanism</t>
  </si>
  <si>
    <t>R&amp;D Project</t>
  </si>
  <si>
    <r>
      <t xml:space="preserve">Technology Diagram 
</t>
    </r>
    <r>
      <rPr>
        <sz val="9"/>
        <rFont val="Franklin Gothic Medium"/>
        <family val="2"/>
      </rPr>
      <t xml:space="preserve">
</t>
    </r>
    <r>
      <rPr>
        <i/>
        <sz val="9"/>
        <rFont val="Franklin Gothic Medium"/>
        <family val="2"/>
      </rPr>
      <t>(insert in cells to right)</t>
    </r>
    <r>
      <rPr>
        <sz val="9"/>
        <rFont val="Franklin Gothic Medium"/>
        <family val="2"/>
      </rPr>
      <t xml:space="preserve">
</t>
    </r>
    <r>
      <rPr>
        <sz val="10"/>
        <rFont val="Franklin Gothic Medium"/>
        <family val="2"/>
      </rPr>
      <t xml:space="preserve">
</t>
    </r>
  </si>
  <si>
    <t>TBD</t>
  </si>
  <si>
    <t>Technology Benchmarking</t>
  </si>
  <si>
    <t>Define the generic market-end use product. If the new technology, commercial benchmark, other competing technologies produce different products that serve the same function and would be used in the same market, the generic market end-use product should be defined generally enough to encompass these different products or variations. For example, a Market End Use Product could be  "automotive high strength steel" rather than the more specific "HSLA 350 steel produced by XYZ process." Defining a product and market that is too-specific may overly restrict the impact analysis.</t>
  </si>
  <si>
    <t>Generic Market End-Use Product*:</t>
  </si>
  <si>
    <t>Cooled Waste Water</t>
  </si>
  <si>
    <t>* The "generic" market end-use product should be defined generally enough to encompass the end-use products of all competing technologies (new technology, commercial benchmark, other competing technologies), if the end products are different but would be used to serve the same function. Specific differences in the end products or applications can be specified in the table below.</t>
  </si>
  <si>
    <t>Definitions of Competing Technologies and Products</t>
  </si>
  <si>
    <t>Technology Definition</t>
  </si>
  <si>
    <t>Specific Product or Application</t>
  </si>
  <si>
    <t>Technology Status</t>
  </si>
  <si>
    <t>Define the technology.</t>
  </si>
  <si>
    <t>Identify the end-use products and/or key applications for this technology, noting any differences.</t>
  </si>
  <si>
    <t>Is this technology a current typical technology, a state-of-the-art technology, or an emerging technology?</t>
  </si>
  <si>
    <t xml:space="preserve">New Technology (developed in this project)  
</t>
  </si>
  <si>
    <t>Waste Heat Recovery (Heat Pump)</t>
  </si>
  <si>
    <t>Typical Technology</t>
  </si>
  <si>
    <t xml:space="preserve">Commercial Benchmark Technology
</t>
  </si>
  <si>
    <t>Evaporative Condenser</t>
  </si>
  <si>
    <t>Other Competing Technologies
(list relevant technologies, separating by commas)</t>
  </si>
  <si>
    <t xml:space="preserve">Energy, Emissions &amp; Cost Impact Drivers </t>
  </si>
  <si>
    <r>
      <t xml:space="preserve">Note: This section examines emissions over the </t>
    </r>
    <r>
      <rPr>
        <b/>
        <i/>
        <u/>
        <sz val="12"/>
        <color theme="9"/>
        <rFont val="Franklin Gothic Medium"/>
        <family val="2"/>
      </rPr>
      <t>entire lifecycle</t>
    </r>
    <r>
      <rPr>
        <b/>
        <sz val="12"/>
        <color theme="9"/>
        <rFont val="Franklin Gothic Medium"/>
        <family val="2"/>
      </rPr>
      <t>.</t>
    </r>
  </si>
  <si>
    <t>Energy &amp; Emissions Impacts 
by Life Cycle Phase</t>
  </si>
  <si>
    <r>
      <t xml:space="preserve">In your opinion, would this technology be likely to impact the </t>
    </r>
    <r>
      <rPr>
        <b/>
        <u/>
        <sz val="10"/>
        <color theme="1"/>
        <rFont val="Franklin Gothic Medium"/>
        <family val="2"/>
      </rPr>
      <t>energy and/or emissions</t>
    </r>
    <r>
      <rPr>
        <sz val="10"/>
        <color theme="1"/>
        <rFont val="Franklin Gothic Medium"/>
        <family val="2"/>
      </rPr>
      <t xml:space="preserve"> associated with …</t>
    </r>
  </si>
  <si>
    <t>Yes/No</t>
  </si>
  <si>
    <r>
      <t xml:space="preserve">Mechanism 
</t>
    </r>
    <r>
      <rPr>
        <i/>
        <sz val="9"/>
        <rFont val="Franklin Gothic Medium"/>
        <family val="2"/>
      </rPr>
      <t>(Explain why this technology would be likely to have an impact.)</t>
    </r>
  </si>
  <si>
    <t xml:space="preserve">… raw materials used in the manufacturing process? </t>
  </si>
  <si>
    <t>No</t>
  </si>
  <si>
    <t xml:space="preserve">… manufacturing the end-use product? </t>
  </si>
  <si>
    <t>Yes</t>
  </si>
  <si>
    <t>Higher energy efficiency, no cooling water needed</t>
  </si>
  <si>
    <t xml:space="preserve">… using, transporting, or disposing of the end-use product? </t>
  </si>
  <si>
    <t>Manufacturing Cost Impacts 
by Cost Component</t>
  </si>
  <si>
    <r>
      <t xml:space="preserve">In your opinion, would this technology be likely to impact the </t>
    </r>
    <r>
      <rPr>
        <b/>
        <u/>
        <sz val="10"/>
        <color theme="1"/>
        <rFont val="Franklin Gothic Medium"/>
        <family val="2"/>
      </rPr>
      <t>manufacturing costs</t>
    </r>
    <r>
      <rPr>
        <sz val="10"/>
        <color theme="1"/>
        <rFont val="Franklin Gothic Medium"/>
        <family val="2"/>
      </rPr>
      <t xml:space="preserve"> associated with …</t>
    </r>
  </si>
  <si>
    <t>Mechanism</t>
  </si>
  <si>
    <t xml:space="preserve">… capital equipment? </t>
  </si>
  <si>
    <t>… raw materials used in manufacturing?</t>
  </si>
  <si>
    <t>… energy used in manufacturing?</t>
  </si>
  <si>
    <t>… manufacturing labor?</t>
  </si>
  <si>
    <t>Impacts by Sector</t>
  </si>
  <si>
    <r>
      <t xml:space="preserve">In your opinion, would this technology be likely to impact the following </t>
    </r>
    <r>
      <rPr>
        <b/>
        <u/>
        <sz val="10"/>
        <color theme="1"/>
        <rFont val="Franklin Gothic Medium"/>
        <family val="2"/>
      </rPr>
      <t>sectors</t>
    </r>
    <r>
      <rPr>
        <sz val="10"/>
        <color theme="1"/>
        <rFont val="Franklin Gothic Medium"/>
        <family val="2"/>
      </rPr>
      <t xml:space="preserve"> (energy, emissions, or cost)?</t>
    </r>
  </si>
  <si>
    <r>
      <t xml:space="preserve">For each sector that would be impacted by the new technology, briefly describe the </t>
    </r>
    <r>
      <rPr>
        <i/>
        <u/>
        <sz val="9"/>
        <rFont val="Franklin Gothic Medium"/>
        <family val="2"/>
      </rPr>
      <t>mechanisms</t>
    </r>
    <r>
      <rPr>
        <i/>
        <sz val="9"/>
        <rFont val="Franklin Gothic Medium"/>
        <family val="2"/>
      </rPr>
      <t xml:space="preserve"> of potential impacts. (Assume successful commercialization and adoption.)</t>
    </r>
  </si>
  <si>
    <t>Mining</t>
  </si>
  <si>
    <t>Manufacturing</t>
  </si>
  <si>
    <t>Used to save energy in beverage manufacturing</t>
  </si>
  <si>
    <t>Transportation</t>
  </si>
  <si>
    <t>Energy Generation (utility scale)</t>
  </si>
  <si>
    <t>Energy Generation (device scale)</t>
  </si>
  <si>
    <t>Construction</t>
  </si>
  <si>
    <t>Electronics</t>
  </si>
  <si>
    <t>Consumer Goods</t>
  </si>
  <si>
    <t>Other Sector (please specify)</t>
  </si>
  <si>
    <t>Patents &amp; Publications</t>
  </si>
  <si>
    <t>List key patents and publications (by awardee) related to or resulting from this project. Add as many rows as needed.</t>
  </si>
  <si>
    <t>References, Notes, and Assumptions</t>
  </si>
  <si>
    <t>List key references and assumptions used to prepare the data provided in this sheet. Add as many rows as needed.</t>
  </si>
  <si>
    <t>Return to Home Page</t>
  </si>
  <si>
    <t>Functional Units and Reference Quantities</t>
  </si>
  <si>
    <t>Return to Planning Page</t>
  </si>
  <si>
    <t>An explanation of best practices for choosing a functional unit can be found in DOE's "Functional Units" short tutorial video:</t>
  </si>
  <si>
    <t>https://www.youtube.com/watch?v=6_5j8kTomOo&amp;ab_channel=U.S.DepartmentofEnergy</t>
  </si>
  <si>
    <r>
      <rPr>
        <sz val="11"/>
        <color rgb="FF000000"/>
        <rFont val="Franklin Gothic Medium"/>
        <family val="2"/>
      </rPr>
      <t xml:space="preserve">A </t>
    </r>
    <r>
      <rPr>
        <b/>
        <sz val="11"/>
        <color rgb="FF000000"/>
        <rFont val="Franklin Gothic Medium"/>
        <family val="2"/>
      </rPr>
      <t>Functional Unit</t>
    </r>
    <r>
      <rPr>
        <sz val="11"/>
        <color rgb="FF000000"/>
        <rFont val="Franklin Gothic Medium"/>
        <family val="2"/>
      </rPr>
      <t xml:space="preserve"> defines the quantity of a product or product system based on the performance it delivers in its end-use application. The purpose of defining a performance-based functional unit is to facilitate accurate comparisons (of environmental or cost metrics) for disparate products or systems that serve the same final function. The functional unit can be used to objectively compare the </t>
    </r>
    <r>
      <rPr>
        <b/>
        <sz val="11"/>
        <color rgb="FF000000"/>
        <rFont val="Franklin Gothic Medium"/>
        <family val="2"/>
      </rPr>
      <t>new technology</t>
    </r>
    <r>
      <rPr>
        <sz val="11"/>
        <color rgb="FF000000"/>
        <rFont val="Franklin Gothic Medium"/>
        <family val="2"/>
      </rPr>
      <t xml:space="preserve"> to the </t>
    </r>
    <r>
      <rPr>
        <b/>
        <sz val="11"/>
        <color rgb="FF000000"/>
        <rFont val="Franklin Gothic Medium"/>
        <family val="2"/>
      </rPr>
      <t>commercial benchmark technology</t>
    </r>
    <r>
      <rPr>
        <sz val="11"/>
        <color rgb="FF000000"/>
        <rFont val="Franklin Gothic Medium"/>
        <family val="2"/>
      </rPr>
      <t xml:space="preserve">. The process can be broken down into </t>
    </r>
    <r>
      <rPr>
        <b/>
        <sz val="11"/>
        <color rgb="FF000000"/>
        <rFont val="Franklin Gothic Medium"/>
        <family val="2"/>
      </rPr>
      <t>two steps:</t>
    </r>
  </si>
  <si>
    <t>Describing the final function for the technology and defining the functional unit.</t>
  </si>
  <si>
    <t>Examples</t>
  </si>
  <si>
    <r>
      <t xml:space="preserve">–	If the technology is </t>
    </r>
    <r>
      <rPr>
        <b/>
        <sz val="10"/>
        <rFont val="Franklin Gothic Medium"/>
        <family val="2"/>
      </rPr>
      <t>a production method,</t>
    </r>
    <r>
      <rPr>
        <sz val="10"/>
        <rFont val="Franklin Gothic Medium"/>
        <family val="2"/>
      </rPr>
      <t xml:space="preserve"> you can define the functional unit based on a quantity of product that the process creates.
	     </t>
    </r>
    <r>
      <rPr>
        <b/>
        <sz val="10"/>
        <rFont val="Franklin Gothic Medium"/>
        <family val="2"/>
      </rPr>
      <t xml:space="preserve">For Example: </t>
    </r>
    <r>
      <rPr>
        <sz val="10"/>
        <rFont val="Franklin Gothic Medium"/>
        <family val="2"/>
      </rPr>
      <t xml:space="preserve">A steel smelting process could be defined based on its ability to produce 1 kg of automotive steel.
–	If the technology is </t>
    </r>
    <r>
      <rPr>
        <b/>
        <sz val="10"/>
        <rFont val="Franklin Gothic Medium"/>
        <family val="2"/>
      </rPr>
      <t xml:space="preserve">a product, </t>
    </r>
    <r>
      <rPr>
        <sz val="10"/>
        <rFont val="Franklin Gothic Medium"/>
        <family val="2"/>
      </rPr>
      <t xml:space="preserve">you can define the functional unit based on a quantitative measure of the intended function of the product. 
	     </t>
    </r>
    <r>
      <rPr>
        <b/>
        <sz val="10"/>
        <rFont val="Franklin Gothic Medium"/>
        <family val="2"/>
      </rPr>
      <t>For Example:</t>
    </r>
    <r>
      <rPr>
        <sz val="10"/>
        <rFont val="Franklin Gothic Medium"/>
        <family val="2"/>
      </rPr>
      <t xml:space="preserve"> A light souce could be defined based on its ability to produce 1,000 lumens of brightness for 1,000 hours.</t>
    </r>
  </si>
  <si>
    <t>The total volume of catalyst required to produce 1 ton of ethylene.</t>
  </si>
  <si>
    <t>The mass of steel required to produce an automotive B-pillar for an average mid-size sedan.</t>
  </si>
  <si>
    <t>All light bulbs required to produce 1,000 lumens of brightness over 100,000 hours.</t>
  </si>
  <si>
    <t>All shipping pallets required to deliver 100,000 lbs of product load at a dynamic load rating of 5,000 lbs.</t>
  </si>
  <si>
    <t xml:space="preserve">Step 1: Based on the functional unit, specify a reference quantity for the New Technology that can be compared to an equivalent reference quantity for the Commercial Benchmark Technology. </t>
  </si>
  <si>
    <r>
      <t xml:space="preserve">Use the functional unit to specify a </t>
    </r>
    <r>
      <rPr>
        <b/>
        <sz val="11"/>
        <color theme="1"/>
        <rFont val="Calibri"/>
        <family val="2"/>
        <scheme val="minor"/>
      </rPr>
      <t>production reference quantity for the new technology,</t>
    </r>
    <r>
      <rPr>
        <sz val="11"/>
        <color theme="1"/>
        <rFont val="Calibri"/>
        <family val="2"/>
        <scheme val="minor"/>
      </rPr>
      <t xml:space="preserve"> as shown in the examples below.</t>
    </r>
  </si>
  <si>
    <t xml:space="preserve">Functional Unit Based Reference Quantity for the New Technology: </t>
  </si>
  <si>
    <t>Million Gallons</t>
  </si>
  <si>
    <t>of</t>
  </si>
  <si>
    <t>for New Technology</t>
  </si>
  <si>
    <t>Value</t>
  </si>
  <si>
    <t>Unit</t>
  </si>
  <si>
    <t>of Product</t>
  </si>
  <si>
    <t>Examples:</t>
  </si>
  <si>
    <t>80 kg of new ethylene catalyst</t>
  </si>
  <si>
    <t>1,000,000 lumen-hours produced by a new LED bulb</t>
  </si>
  <si>
    <t>9 kg of dual-phase high strength steel</t>
  </si>
  <si>
    <t>18 recycled polymer pallet shipping pallets in novel design</t>
  </si>
  <si>
    <r>
      <t>Finally, specific the performance-equivalent production reference quantity</t>
    </r>
    <r>
      <rPr>
        <b/>
        <sz val="11"/>
        <color theme="1"/>
        <rFont val="Calibri"/>
        <family val="2"/>
        <scheme val="minor"/>
      </rPr>
      <t xml:space="preserve"> for the commercial benchmark technology, as shown in the examples below.</t>
    </r>
    <r>
      <rPr>
        <sz val="11"/>
        <color theme="1"/>
        <rFont val="Calibri"/>
        <family val="2"/>
        <scheme val="minor"/>
      </rPr>
      <t xml:space="preserve"> Note that this value may be the same or different from the reference quantity for the new technology. It depends on how you've defined your functional unit, and whether the new technology will serve as a drop-in replacement for the benchmark technology.</t>
    </r>
  </si>
  <si>
    <t xml:space="preserve">Performance Equivalent Reference Quantity for the Commercial Benchmark: </t>
  </si>
  <si>
    <t>for Commercial Benchmark Technology</t>
  </si>
  <si>
    <t>90 kg of conventional ethylene catalyst</t>
  </si>
  <si>
    <t>1,000,000 lumen-hours produced by a current typical lightbulb</t>
  </si>
  <si>
    <t>13 kg of conventional mild steel</t>
  </si>
  <si>
    <t>24 conventional wood stringer pallets</t>
  </si>
  <si>
    <t>Explain Differentiation in Functional Units</t>
  </si>
  <si>
    <t xml:space="preserve">Step 2: Verify the Performance Equivalency Summary of the Functional Unit for the New Technology and the Commerical Benchmark. </t>
  </si>
  <si>
    <t>Functional Unit</t>
  </si>
  <si>
    <t>New Technology</t>
  </si>
  <si>
    <t>Commercial Benchmark</t>
  </si>
  <si>
    <t>Technology Name</t>
  </si>
  <si>
    <t>Specific Product</t>
  </si>
  <si>
    <t>Functional Unit Based Reference Qty.</t>
  </si>
  <si>
    <t>New Technology Production Equivalent</t>
  </si>
  <si>
    <t>(units)</t>
  </si>
  <si>
    <t>Benchmark Production Equivalent</t>
  </si>
  <si>
    <t>Throughout this analysis, all energy consumption and cost data will be reported in terms of the functional unit based reference quantities derived above.</t>
  </si>
  <si>
    <t>Calculations</t>
  </si>
  <si>
    <t>Use this section for project-specific calculations and detailed references supporting the data above. Add as many rows as needed.</t>
  </si>
  <si>
    <t>Raw Material Embodied Energy, Emissions, and Costs</t>
  </si>
  <si>
    <r>
      <t xml:space="preserve">In this tab, you will estimate the </t>
    </r>
    <r>
      <rPr>
        <b/>
        <sz val="10"/>
        <rFont val="Franklin Gothic Medium"/>
        <family val="2"/>
      </rPr>
      <t>embodied energy, embodied carbon,</t>
    </r>
    <r>
      <rPr>
        <sz val="10"/>
        <rFont val="Franklin Gothic Medium"/>
        <family val="2"/>
      </rPr>
      <t xml:space="preserve"> and </t>
    </r>
    <r>
      <rPr>
        <b/>
        <sz val="10"/>
        <rFont val="Franklin Gothic Medium"/>
        <family val="2"/>
      </rPr>
      <t>cost</t>
    </r>
    <r>
      <rPr>
        <sz val="10"/>
        <rFont val="Franklin Gothic Medium"/>
        <family val="2"/>
      </rPr>
      <t xml:space="preserve"> for raw material inputs to manufacturing, for the New  Technology (left) and for the Commercial Benchmark (right). Note that the technology definitions and product definitions are imported by default from the Benchmarking section of the "Project Basics" tab; and reference volumes are imported from the "Ref Volume" tab. If any edits to these values are needed, please modify in those tabs to ensure changes are carried through entire analysis.
</t>
    </r>
  </si>
  <si>
    <t>New Technology (at Industrial Scale)</t>
  </si>
  <si>
    <t>Reference Volume</t>
  </si>
  <si>
    <t>(reference volume)</t>
  </si>
  <si>
    <t xml:space="preserve">List all significant input materials in the table below. Considering the reference volume specified in the prior tab (and shown above), specify for each input material the amount required to produce the reference quanity, as well as the specific embodied energy, specific embodied carbon*, and specific cost for each material. Follow the same process for the new technology (left) and commercial benchmark technology (right) to facilitate comparisons. </t>
  </si>
  <si>
    <t>Embodied energy and carbon for input materials may conveniently be estimated using NREL's Materials Flow Through Industry (MFI) tool (using the exact materials if available, or using similar "proxy" materials as an estimate). Indicate the specific MFI material names used for estimates (or other sources and assumptions) in the "References, Notes, and Assumptions" section below. The tool tab linked below can be used to easily extract embodied energy and carbon values from MFI results output. MFI embodied energy and carbon results can then be pasted as values in the Specific Embodied Energy column.</t>
  </si>
  <si>
    <t>Calculator Tool: Extracting Embodied Energy &amp; Carbon from MFI</t>
  </si>
  <si>
    <t>New Technology - Raw Material Inputs</t>
  </si>
  <si>
    <r>
      <t xml:space="preserve">Enter MFI embodied energy data in this column
</t>
    </r>
    <r>
      <rPr>
        <sz val="8"/>
        <color rgb="FF7030A0"/>
        <rFont val="Calibri"/>
        <family val="2"/>
      </rPr>
      <t>↓</t>
    </r>
  </si>
  <si>
    <r>
      <t xml:space="preserve">Enter MFI embodied carbon data in this column
</t>
    </r>
    <r>
      <rPr>
        <sz val="8"/>
        <color rgb="FF7030A0"/>
        <rFont val="Calibri"/>
        <family val="2"/>
      </rPr>
      <t>↓</t>
    </r>
  </si>
  <si>
    <t>Commercial Benchmark - Raw Material Inputs</t>
  </si>
  <si>
    <r>
      <t xml:space="preserve">Enter MFI embodied energy data in this column (if applicable)
</t>
    </r>
    <r>
      <rPr>
        <sz val="8"/>
        <color rgb="FF7030A0"/>
        <rFont val="Calibri"/>
        <family val="2"/>
      </rPr>
      <t>↓</t>
    </r>
  </si>
  <si>
    <r>
      <t xml:space="preserve">Material Inputs
</t>
    </r>
    <r>
      <rPr>
        <sz val="9"/>
        <rFont val="Franklin Gothic Medium"/>
        <family val="2"/>
      </rPr>
      <t>(list)</t>
    </r>
  </si>
  <si>
    <r>
      <t xml:space="preserve">Amount of Material
</t>
    </r>
    <r>
      <rPr>
        <sz val="9"/>
        <rFont val="Franklin Gothic Medium"/>
        <family val="2"/>
      </rPr>
      <t>(to produce reference volume)</t>
    </r>
  </si>
  <si>
    <t>unit</t>
  </si>
  <si>
    <r>
      <t xml:space="preserve">Specific Embodied Energy (Btu/unit) 
</t>
    </r>
    <r>
      <rPr>
        <sz val="9"/>
        <rFont val="Franklin Gothic Medium"/>
        <family val="2"/>
      </rPr>
      <t>(for this material)</t>
    </r>
  </si>
  <si>
    <r>
      <t xml:space="preserve">Specific Embodied Carbon (lbs CO2-eq/unit) 
</t>
    </r>
    <r>
      <rPr>
        <sz val="9"/>
        <rFont val="Franklin Gothic Medium"/>
        <family val="2"/>
      </rPr>
      <t>(for this material)</t>
    </r>
  </si>
  <si>
    <r>
      <t xml:space="preserve">Specific Cost ($/unit) 
</t>
    </r>
    <r>
      <rPr>
        <sz val="9"/>
        <rFont val="Franklin Gothic Medium"/>
        <family val="2"/>
      </rPr>
      <t>(for this material)</t>
    </r>
  </si>
  <si>
    <r>
      <t xml:space="preserve">Embodied Energy (MMBtu) 
</t>
    </r>
    <r>
      <rPr>
        <sz val="9"/>
        <rFont val="Franklin Gothic Medium"/>
        <family val="2"/>
      </rPr>
      <t>(per reference volume of product)</t>
    </r>
  </si>
  <si>
    <r>
      <t xml:space="preserve">Embodied Carbon (lbs CO2-eq) 
</t>
    </r>
    <r>
      <rPr>
        <sz val="9"/>
        <rFont val="Franklin Gothic Medium"/>
        <family val="2"/>
      </rPr>
      <t>(per reference volume of product)</t>
    </r>
  </si>
  <si>
    <r>
      <t xml:space="preserve">Cost ($)
</t>
    </r>
    <r>
      <rPr>
        <sz val="9"/>
        <rFont val="Franklin Gothic Medium"/>
        <family val="2"/>
      </rPr>
      <t>(per reference volume of product)</t>
    </r>
  </si>
  <si>
    <r>
      <t xml:space="preserve">Specific Embodied Carbon (CO2-eq/unit) 
</t>
    </r>
    <r>
      <rPr>
        <sz val="9"/>
        <rFont val="Franklin Gothic Medium"/>
        <family val="2"/>
      </rPr>
      <t>(for this material)</t>
    </r>
  </si>
  <si>
    <t>kg</t>
  </si>
  <si>
    <t>City water supply to evaporative condensers</t>
  </si>
  <si>
    <t>gallons</t>
  </si>
  <si>
    <t>Copper</t>
  </si>
  <si>
    <t>Biocide chemical additon to cooling loop for micro mitigation</t>
  </si>
  <si>
    <t>Elastomer</t>
  </si>
  <si>
    <t>Steel low Alloy</t>
  </si>
  <si>
    <t>HDPE</t>
  </si>
  <si>
    <t>Stainless Steel</t>
  </si>
  <si>
    <t>Low alloyed steel</t>
  </si>
  <si>
    <t>Aluminium</t>
  </si>
  <si>
    <t>Lubricating Oil (Manufacturing)</t>
  </si>
  <si>
    <t>Bricks</t>
  </si>
  <si>
    <t>PVC</t>
  </si>
  <si>
    <t>Methacrylate</t>
  </si>
  <si>
    <t>Reinforced Steel</t>
  </si>
  <si>
    <t xml:space="preserve">Polyurethane </t>
  </si>
  <si>
    <t>Total embodied energy and cost for input materials:</t>
  </si>
  <si>
    <t>*The IPA team defines "embodied carbon" for a material as the 10-year Global Warming Potential (GWP) of greenhouse gas emissions associated with the material's extraction, processing, and manufacturing. IPCC 2013 (AR5) data are used for 10-year GWP emissions factors. Emissions are calculated automatically in MFI. If calculating independently, the latest IPCC data for GWP and combustion emissions factors are available in the Reference Data tab linked below:</t>
  </si>
  <si>
    <t>Reference Data: 10-Year GWP &amp; Combustion Emission Factors</t>
  </si>
  <si>
    <t>To determine Biocide dosing per unit of cooling water: https://www.unitedlabsinc.com/content/pdf/label/336label.pdf</t>
  </si>
  <si>
    <t>Biocide cost example: https://www.coolingtowerchemicals.com/Polymeric-Quaternary-Amine-p/4655.htm</t>
  </si>
  <si>
    <t>Embodied Energy of chlorine (common biocide): https://pubs.acs.org/doi/10.1021/es404300y#:~:text=The%20embodied%20energy%20is%20based,during%20the%20water%20treatment%20process.</t>
  </si>
  <si>
    <t>Embodied Energy and Carbon of water: https://www.ncbi.nlm.nih.gov/pmc/articles/PMC8933528/</t>
  </si>
  <si>
    <t>Embodied Carbon of chlorine (common biocide): https://legacy.winnipeg.ca/finance/findata/matmgt/documents/2012/682-2012/682-2012_Appendix_H-WSTP_South_End_Plant_Process_Selection_Report/Appendix%207.pdf</t>
  </si>
  <si>
    <t>Materials Embodied Energies: https://en.wikipedia.org/wiki/Embodied_energy</t>
  </si>
  <si>
    <t>Materials Embodied Energies II: https://greenbuildingencyclopaedia.uk/wp-content/uploads/2014/07/Full-BSRIA-ICE-guide.pdf</t>
  </si>
  <si>
    <t>gallons/day average water consumption at the brewery wastewater plant (based on institutional knowledge/experience)</t>
  </si>
  <si>
    <t>Material Cost Calculations Waste Heat Recovery System</t>
  </si>
  <si>
    <t>assumed % of  city water usage to evaporative condensers compared to total wastewater plant city water usage (based on institutional knowledge/experience)</t>
  </si>
  <si>
    <t>gallons/day of city water usage fed to evaporative condensers</t>
  </si>
  <si>
    <t>Material for a 5 kWh heat pump, converted to 366.3 kWh (Assuming Linear Scale Up)</t>
  </si>
  <si>
    <t>Material</t>
  </si>
  <si>
    <t>Amount per Unit</t>
  </si>
  <si>
    <t>Scaled up to 366.3 kWh</t>
  </si>
  <si>
    <t>Scaled to per Functional Unit</t>
  </si>
  <si>
    <t>Embodied btu/kg</t>
  </si>
  <si>
    <t>Embodied kg CO2/kg</t>
  </si>
  <si>
    <t>https://www.unitedlabsinc.com/content/pdf/label/336label.pdf</t>
  </si>
  <si>
    <t>Lubricating Oil</t>
  </si>
  <si>
    <t>Convert MMbtu to MJ</t>
  </si>
  <si>
    <t>Conversion to daily output for heat pump</t>
  </si>
  <si>
    <t>Pump energy use: MMbtu / day</t>
  </si>
  <si>
    <t xml:space="preserve">1 MJ = </t>
  </si>
  <si>
    <t>MMbtu</t>
  </si>
  <si>
    <t>kWh in 1 MMbtu</t>
  </si>
  <si>
    <t>btu</t>
  </si>
  <si>
    <t>kWh/day used by heat pump</t>
  </si>
  <si>
    <t>*assume system has microbrial control during normal operations. 13-38 ounces per 1000 gallons of cooling water. Assume 25 oz biocide required as this is in the middle of the range</t>
  </si>
  <si>
    <t>kWh per hour (assuming ~24 hour use)</t>
  </si>
  <si>
    <t>ounces biocide per</t>
  </si>
  <si>
    <t>gallons of water</t>
  </si>
  <si>
    <t xml:space="preserve">ounces = </t>
  </si>
  <si>
    <t>gallon</t>
  </si>
  <si>
    <t xml:space="preserve">gallons biocide per </t>
  </si>
  <si>
    <t>Conversion from 20 Year Lifetime to Functional Unit</t>
  </si>
  <si>
    <t>Total Biocide/day Required:</t>
  </si>
  <si>
    <t xml:space="preserve">gallons </t>
  </si>
  <si>
    <t>Years</t>
  </si>
  <si>
    <t>Days</t>
  </si>
  <si>
    <t>Costs</t>
  </si>
  <si>
    <t>per 1000 gallons of industrial city water cost estimation for St. Louis</t>
  </si>
  <si>
    <t xml:space="preserve">*various typies of biocides out there, but see source below for a 55 gallon drum. </t>
  </si>
  <si>
    <t>https://www.coolingtowerchemicals.com/Polymeric-Quaternary-Amine-p/4655.htm</t>
  </si>
  <si>
    <t>Material for a 4 kWh heat pump, converted to 366.3 kWh (Assuming Linear Scale Up)</t>
  </si>
  <si>
    <t xml:space="preserve">gallon drum of biocide = </t>
  </si>
  <si>
    <t>per gallon of biocide</t>
  </si>
  <si>
    <t>Embodied Energy</t>
  </si>
  <si>
    <t>Chlorine Embodied Energy Source:</t>
  </si>
  <si>
    <t>https://pubs.acs.org/doi/10.1021/es404300y#:~:text=The%20embodied%20energy%20is%20based,during%20the%20water%20treatment%20process.</t>
  </si>
  <si>
    <t>MJ/KG of chlorine embodied energy</t>
  </si>
  <si>
    <t>g/l density of chlorine</t>
  </si>
  <si>
    <t>MJ =</t>
  </si>
  <si>
    <t>BTU</t>
  </si>
  <si>
    <t>liter =</t>
  </si>
  <si>
    <t>BTU/KG</t>
  </si>
  <si>
    <t>BTU/gallon</t>
  </si>
  <si>
    <t>Embodied energy of water source:</t>
  </si>
  <si>
    <t>https://www.ncbi.nlm.nih.gov/pmc/articles/PMC8933528/</t>
  </si>
  <si>
    <t>Waste Water Estimation</t>
  </si>
  <si>
    <t xml:space="preserve">MJ/KG embodied energy of water </t>
  </si>
  <si>
    <t>KG/L density of water</t>
  </si>
  <si>
    <t>Q=m*cp*dT</t>
  </si>
  <si>
    <t xml:space="preserve">Base Formula </t>
  </si>
  <si>
    <t>MJ/L</t>
  </si>
  <si>
    <t>dT</t>
  </si>
  <si>
    <t>dF</t>
  </si>
  <si>
    <t>cP</t>
  </si>
  <si>
    <t>btu/lb-F</t>
  </si>
  <si>
    <t>KG CO2/KG</t>
  </si>
  <si>
    <t>embodied carbon for tap water</t>
  </si>
  <si>
    <t>m</t>
  </si>
  <si>
    <t>lbs of water per day</t>
  </si>
  <si>
    <t>KG =</t>
  </si>
  <si>
    <t>pounds</t>
  </si>
  <si>
    <t>gallons WWTR per day required to be cooled from 105 dF to 100 dF</t>
  </si>
  <si>
    <t>pounds CO2/KG tap water</t>
  </si>
  <si>
    <t>lbs/gallon density of water</t>
  </si>
  <si>
    <t>pounds CO2/gallon of tap water</t>
  </si>
  <si>
    <t>Q=</t>
  </si>
  <si>
    <t>BTUs removal required to cool 2 million gallons of WWTR per day from 105 to 100 dF</t>
  </si>
  <si>
    <t>*assume latent heat of evaporation from cooling water in evap condensers cools the wastewater</t>
  </si>
  <si>
    <t>BTU/lb</t>
  </si>
  <si>
    <t>latent heat of water</t>
  </si>
  <si>
    <t>lbs water needed</t>
  </si>
  <si>
    <t>KG CO2 per KG of chlorine</t>
  </si>
  <si>
    <t>pounds CO2/KG of chlorine</t>
  </si>
  <si>
    <t xml:space="preserve">Inefficiency Factor </t>
  </si>
  <si>
    <t>pounds CO2 per gallon of chlorine</t>
  </si>
  <si>
    <t>Total Gal of Water</t>
  </si>
  <si>
    <t>Market Size</t>
  </si>
  <si>
    <t>Quantify the total size of the end-use product market. Provide calculations and references at the bottom of the sheet. 
The end-use product should be defined in the Benchmarking section of the Project Basics tab.</t>
  </si>
  <si>
    <t>Annual U.S. Production of End-use Product:</t>
  </si>
  <si>
    <t xml:space="preserve">Million Gallons </t>
  </si>
  <si>
    <t>(all U.S. production, all facilities)</t>
  </si>
  <si>
    <t>If the new technology will NOT be deployed in an existing market, or there is not yet any U.S. production of the end-use product, explain below.</t>
  </si>
  <si>
    <t>Comments:</t>
  </si>
  <si>
    <t>Market Breakdown</t>
  </si>
  <si>
    <t>Estimate the percent market share for the new technology, the commercial benchmark, and other competing technologies:
 - In the "Current Conditions" column, estimate the market breakdown based on the current U.S. market. 
 - In the "Overnight Adoption" column, estimate the market breakdown in a hypothetical "overnight adoption" marketplace where the new technology is fully deployed, but all other market conditions remain the same as the current U.S. market.
The total market share in each column should sum to 100%.</t>
  </si>
  <si>
    <t>Technology*</t>
  </si>
  <si>
    <t>Product / Application*:</t>
  </si>
  <si>
    <t>Pre-Deployment</t>
  </si>
  <si>
    <t>Full Deployment</t>
  </si>
  <si>
    <t>Market Share (%):  Current Conditions</t>
  </si>
  <si>
    <t>Market Share (%): 
"Target Potential Market at Full Deployment" Hypothetical Scenario</t>
  </si>
  <si>
    <t>New Technology:</t>
  </si>
  <si>
    <t>Commercial Benchmark:</t>
  </si>
  <si>
    <t>Other Competing Technologies:</t>
  </si>
  <si>
    <t>Sum:</t>
  </si>
  <si>
    <t>*Note that the technology and product definitions are imported from the Benchmarking section of the "Project Basics" tab. If any edits to these definitions are needed, please modify the definitions in that tab.</t>
  </si>
  <si>
    <t>Assumed that there are 2 million gallons procceses per day per tower, and there are 10000 towers across the US.</t>
  </si>
  <si>
    <t>Manufacturing Energy, Emissions, and Energy Costs</t>
  </si>
  <si>
    <t xml:space="preserve">Estimate onsite energy consumption (in the blue input cells) by energy/fuel type. Energy consumption totals should correspond to the reference volume of finished product, as provided in the Ref Volume tab. Follow the same process for the new technology (left) and commercial benchmark technology (right) to facilitate comparisons.  Default data are provided for energy prices, GWP, and source-to-site ratios (in the violet cells). These are based on industrial sector averages (see Summary Ref Tables tab) and can be user-adjusted from the default values for greater accuracy, if better estimates are available. IPCC AR5 values for 100-Year Global Warming Potential (GWP) are used to esimate the emissions associated with energy consumption.  See the GWP &amp; Combustion Data tab (linked below) for source data and assumptions.
</t>
  </si>
  <si>
    <t>(ref volume)</t>
  </si>
  <si>
    <t>New Technology - Energy Consumption &amp; Cost Data (to produce reference volume)</t>
  </si>
  <si>
    <t>Commercial Benchmark - Energy Consumption &amp; Cost Data (to produce reference volume)</t>
  </si>
  <si>
    <t>Data entry</t>
  </si>
  <si>
    <t>Default sector data* (Can be modified if needed. If modifying value, change background color to blue)</t>
  </si>
  <si>
    <t>↓</t>
  </si>
  <si>
    <t>Fuel or Energy Type</t>
  </si>
  <si>
    <r>
      <t xml:space="preserve">Energy Source
 </t>
    </r>
    <r>
      <rPr>
        <i/>
        <sz val="10"/>
        <rFont val="Franklin Gothic Medium"/>
        <family val="2"/>
      </rPr>
      <t>(Dropdowns available for Petroleum, Coal, and Renewable)</t>
    </r>
  </si>
  <si>
    <t xml:space="preserve">Onsite Energy Consumption*  (MMBtu) </t>
  </si>
  <si>
    <t>Specific Price ($/MMBtu)</t>
  </si>
  <si>
    <t>Specific 100-yr GWP (lb CO2-eq / MMBtu)</t>
  </si>
  <si>
    <t>Source-to-Site Ratio (electricity and steam only)</t>
  </si>
  <si>
    <t>Primary Energy Consumption, including offsite losses (MMBtu)</t>
  </si>
  <si>
    <t>Energy Cost  ($)</t>
  </si>
  <si>
    <t>GWP Emissions (lb CO2-eq)</t>
  </si>
  <si>
    <t>Electricity</t>
  </si>
  <si>
    <t>Petroleum</t>
  </si>
  <si>
    <t>Diesel &amp; distillate fuel oil</t>
  </si>
  <si>
    <t>Coal</t>
  </si>
  <si>
    <t>Anthracite</t>
  </si>
  <si>
    <t>Natural Gas</t>
  </si>
  <si>
    <t>Renewable</t>
  </si>
  <si>
    <t>Wood Biomass</t>
  </si>
  <si>
    <t>Steam</t>
  </si>
  <si>
    <t>Steam and Hot Water**</t>
  </si>
  <si>
    <t>Custom Input I</t>
  </si>
  <si>
    <t>Custom Input II</t>
  </si>
  <si>
    <t>Liquified Petroleum Gas</t>
  </si>
  <si>
    <t>Custom Input III</t>
  </si>
  <si>
    <t>Petroleum Coke</t>
  </si>
  <si>
    <t>* Link to reference data tab</t>
  </si>
  <si>
    <t>** To avoid double-counting, only enter Steam data in this row if fuel/electricity used to generate the steam is not already included above.</t>
  </si>
  <si>
    <t>Manufacturing Process Emissions (if applicable)</t>
  </si>
  <si>
    <r>
      <t xml:space="preserve">If there are </t>
    </r>
    <r>
      <rPr>
        <u/>
        <sz val="10"/>
        <rFont val="Franklin Gothic Medium"/>
        <family val="2"/>
      </rPr>
      <t>process emissions</t>
    </r>
    <r>
      <rPr>
        <sz val="10"/>
        <rFont val="Franklin Gothic Medium"/>
        <family val="2"/>
      </rPr>
      <t xml:space="preserve"> associated with either the new technology or commercial benchmark technology, list the emissions and associated 100-year GWP below. Do not include any emissions associated with combustion of fuels (already captured above). 
If there are no significant process emissions, leave this section blank.
</t>
    </r>
  </si>
  <si>
    <t>New Technology - Process Emissions (to produce reference volume)</t>
  </si>
  <si>
    <t>Commercial Benchmark - Process Emissions (to produce reference volume)</t>
  </si>
  <si>
    <t>Emission Type 
(chemical name or acronym)</t>
  </si>
  <si>
    <t>Amount emitted (lb)</t>
  </si>
  <si>
    <t>100-Year GWP*</t>
  </si>
  <si>
    <t>Suggested 100-Year GWP</t>
  </si>
  <si>
    <t>Embodied Carbon
(lb CO2-eq)</t>
  </si>
  <si>
    <t>R-134a</t>
  </si>
  <si>
    <t xml:space="preserve">Total: </t>
  </si>
  <si>
    <t>Total</t>
  </si>
  <si>
    <t>* Use IPCC AR5 values for 100-Year Global Warming Potential (GWP). See the GWP Data tab (linked below) for excerpted GWP values for the most common emissions types, and a link to the full IPCC report for a complete list.</t>
  </si>
  <si>
    <t>Reference Data Tables: Global Warming Potential</t>
  </si>
  <si>
    <t xml:space="preserve">Residential Heat Pump LCA from 2022: </t>
  </si>
  <si>
    <t>https://reader.elsevier.com/reader/sd/pii/S2212827122000580?token=494650C2CFA0DC2FF939A96C42BEA8B301FCFD6FBACF9839DDD737C0FF902E07A5E5444A7DDD55D24AFA2FEA0A34E46F&amp;originRegion=us-east-1&amp;originCreation=20230110001925</t>
  </si>
  <si>
    <t>https://ww2.arb.ca.gov/resources/documents/high-gwp-refrigerants</t>
  </si>
  <si>
    <r>
      <t xml:space="preserve">All Material Costs for comparable Heat Pump </t>
    </r>
    <r>
      <rPr>
        <b/>
        <i/>
        <sz val="11"/>
        <rFont val="Franklin Gothic Medium"/>
        <family val="2"/>
      </rPr>
      <t>(Only Energy and process emissions are included in this section)</t>
    </r>
  </si>
  <si>
    <t>Energy</t>
  </si>
  <si>
    <t>N</t>
  </si>
  <si>
    <t>Medium-voltage Electricity</t>
  </si>
  <si>
    <t>MJ</t>
  </si>
  <si>
    <t>Y</t>
  </si>
  <si>
    <t>**For this section, we are going to assume the manufacturing energy for the Benchmark is the energy required to supply the raw materials that support/enable the evaporative cooling loop for the evaporative condensers.</t>
  </si>
  <si>
    <t>**Note that actual city water costs are included within "OpEx" tab in "Other Recurring Costs" section</t>
  </si>
  <si>
    <t>hp motor/pump used to tranport/supply the (4) evaporative condensers with city water for cooling</t>
  </si>
  <si>
    <t xml:space="preserve">hp motor on chemical pump used to supply/dose city water for cooling with biocide for microbial control </t>
  </si>
  <si>
    <t>hp of continuous pumping power needed to supply raw materials for evaorative condensers</t>
  </si>
  <si>
    <t>kW =</t>
  </si>
  <si>
    <t>hp</t>
  </si>
  <si>
    <t>kWh daily electricity required</t>
  </si>
  <si>
    <t>BTU per kWh</t>
  </si>
  <si>
    <t>MMBTUs in daily electricity required</t>
  </si>
  <si>
    <t>Use Phase Energy and Emissions</t>
  </si>
  <si>
    <r>
      <t xml:space="preserve">Complete this tab for any technology expected to have an energy impact during </t>
    </r>
    <r>
      <rPr>
        <u/>
        <sz val="10"/>
        <rFont val="Franklin Gothic Medium"/>
        <family val="2"/>
      </rPr>
      <t>final use</t>
    </r>
    <r>
      <rPr>
        <sz val="10"/>
        <rFont val="Franklin Gothic Medium"/>
        <family val="2"/>
      </rPr>
      <t xml:space="preserve"> of the finished product in its end-use sector. Technologies for which the Use Phase is important include energy-consuming devices or systems, energy-producing devices or systems, or material/component inputs to such systems. For example, a lightweight material may provide fuel savings (compared to typical materials) when used in a vehicle; and an energy-efficient device may provide electricity savings (compared to typical devices) when used in a consumer application.  If the technology is not expected to have use phase impacts, leave this section blank. Technologies for which the Use Phase is </t>
    </r>
    <r>
      <rPr>
        <u/>
        <sz val="10"/>
        <rFont val="Franklin Gothic Medium"/>
        <family val="2"/>
      </rPr>
      <t>not</t>
    </r>
    <r>
      <rPr>
        <sz val="10"/>
        <rFont val="Franklin Gothic Medium"/>
        <family val="2"/>
      </rPr>
      <t xml:space="preserve"> expected to be important include technologies where the end-use product is identical to that produced using current typical technologies. For example, a new production route for a commodity chemical would  </t>
    </r>
    <r>
      <rPr>
        <u/>
        <sz val="10"/>
        <rFont val="Franklin Gothic Medium"/>
        <family val="2"/>
      </rPr>
      <t>not</t>
    </r>
    <r>
      <rPr>
        <sz val="10"/>
        <rFont val="Franklin Gothic Medium"/>
        <family val="2"/>
      </rPr>
      <t xml:space="preserve"> be expected to have use phase impacts because the end-use product (the commodity chemical) is identical.
To evaluate the use phase energy impact, estimate the </t>
    </r>
    <r>
      <rPr>
        <u/>
        <sz val="10"/>
        <rFont val="Franklin Gothic Medium"/>
        <family val="2"/>
      </rPr>
      <t>total U.S. annual energy consumption</t>
    </r>
    <r>
      <rPr>
        <sz val="10"/>
        <rFont val="Franklin Gothic Medium"/>
        <family val="2"/>
      </rPr>
      <t xml:space="preserve"> (for the end-use market impacted by the technology) based on two scenarios:</t>
    </r>
  </si>
  <si>
    <t>1. Current Annual Energy Consumption</t>
  </si>
  <si>
    <t>2. Hypothetical Annual Energy Consumption, Based on "Overnight Replacement" with New Technology</t>
  </si>
  <si>
    <r>
      <t xml:space="preserve">In the "Current" scenario, assume the current market size and market conditions. Consider the entire market, including all facilities and manufacturers. In the "Overnight Replacement" scenario, assume a hypothetical market in which the new technology was immediately and fully deployed (at its maximum anticipated market share), with the market size and all other market conditions held constant (this is a simplification).
</t>
    </r>
    <r>
      <rPr>
        <b/>
        <u/>
        <sz val="10"/>
        <rFont val="Franklin Gothic Medium"/>
        <family val="2"/>
      </rPr>
      <t>Enter data on an annual basis in the blue cells below, considering the U.S. market and breaking down by sector and energy source</t>
    </r>
    <r>
      <rPr>
        <sz val="10"/>
        <rFont val="Franklin Gothic Medium"/>
        <family val="2"/>
      </rPr>
      <t xml:space="preserve">. Enter data only into rows for sector(s) and energy sources applicable to the technology. For convenience, sector-average values for GWP and source-to-site ratio (based on EIA and IPCC reference data) are provided in the purple cells. These data may be over-written if more accurate facility- or industry-specific data are available.  Provide your references, assumptions, source data, and calculations in the sections at the bottom of this tab.
</t>
    </r>
  </si>
  <si>
    <t>Default sector data* 
(can be modified if needed)</t>
  </si>
  <si>
    <r>
      <rPr>
        <sz val="10"/>
        <color rgb="FF0070C0"/>
        <rFont val="Franklin Gothic Medium"/>
        <family val="2"/>
      </rPr>
      <t>Data entry**</t>
    </r>
    <r>
      <rPr>
        <sz val="10"/>
        <color rgb="FF0070C0"/>
        <rFont val="Calibri"/>
        <family val="2"/>
      </rPr>
      <t xml:space="preserve">
↓</t>
    </r>
  </si>
  <si>
    <r>
      <rPr>
        <b/>
        <sz val="10"/>
        <color theme="1"/>
        <rFont val="Franklin Gothic Medium"/>
        <family val="2"/>
      </rPr>
      <t xml:space="preserve">Current </t>
    </r>
    <r>
      <rPr>
        <b/>
        <u/>
        <sz val="10"/>
        <color theme="1"/>
        <rFont val="Franklin Gothic Medium"/>
        <family val="2"/>
      </rPr>
      <t>Annual</t>
    </r>
    <r>
      <rPr>
        <b/>
        <sz val="10"/>
        <color theme="1"/>
        <rFont val="Franklin Gothic Medium"/>
        <family val="2"/>
      </rPr>
      <t xml:space="preserve"> U.S. Energy &amp; Emissions - Product Use Phase</t>
    </r>
    <r>
      <rPr>
        <sz val="10"/>
        <color theme="1"/>
        <rFont val="Franklin Gothic Medium"/>
        <family val="2"/>
      </rPr>
      <t xml:space="preserve">
(based on current technologies in use)</t>
    </r>
  </si>
  <si>
    <r>
      <rPr>
        <b/>
        <sz val="10"/>
        <color theme="1"/>
        <rFont val="Franklin Gothic Medium"/>
        <family val="2"/>
      </rPr>
      <t xml:space="preserve">Hypothetical </t>
    </r>
    <r>
      <rPr>
        <b/>
        <u/>
        <sz val="10"/>
        <color theme="1"/>
        <rFont val="Franklin Gothic Medium"/>
        <family val="2"/>
      </rPr>
      <t>Annual</t>
    </r>
    <r>
      <rPr>
        <b/>
        <sz val="10"/>
        <color theme="1"/>
        <rFont val="Franklin Gothic Medium"/>
        <family val="2"/>
      </rPr>
      <t xml:space="preserve"> Energy &amp; Emissions - Product Use Phase</t>
    </r>
    <r>
      <rPr>
        <sz val="10"/>
        <color theme="1"/>
        <rFont val="Franklin Gothic Medium"/>
        <family val="2"/>
      </rPr>
      <t xml:space="preserve">
(based on "overnight replacement" with new technology)</t>
    </r>
  </si>
  <si>
    <t>Sector &amp; Energy Type</t>
  </si>
  <si>
    <t>Energy Source</t>
  </si>
  <si>
    <t>Source-to-Site Ratio (Btu primary / Btu onsite)</t>
  </si>
  <si>
    <t>Annual Onsite Energy Consumption (MMBtu)</t>
  </si>
  <si>
    <t>Annual Primary Energy Consumption, including offsite losses (MMBtu)</t>
  </si>
  <si>
    <t>Annual Associated Cost ($)</t>
  </si>
  <si>
    <t>Annual Associated GWP Emissions (tons CO2-eq)</t>
  </si>
  <si>
    <t>Annual Energy Consumption  (fuel specific units)</t>
  </si>
  <si>
    <t>Annual Primary Energy Consumption  (MMBtu)</t>
  </si>
  <si>
    <t xml:space="preserve">
Industrial Sector</t>
  </si>
  <si>
    <r>
      <rPr>
        <b/>
        <sz val="10"/>
        <color theme="1"/>
        <rFont val="Franklin Gothic Medium"/>
        <family val="2"/>
      </rPr>
      <t>Petroleum</t>
    </r>
    <r>
      <rPr>
        <sz val="10"/>
        <color theme="1"/>
        <rFont val="Franklin Gothic Medium"/>
        <family val="2"/>
      </rPr>
      <t xml:space="preserve"> Look Up</t>
    </r>
  </si>
  <si>
    <t>Motor Gasoline</t>
  </si>
  <si>
    <r>
      <rPr>
        <b/>
        <sz val="10"/>
        <color theme="1"/>
        <rFont val="Franklin Gothic Medium"/>
        <family val="2"/>
      </rPr>
      <t>Coal</t>
    </r>
    <r>
      <rPr>
        <sz val="10"/>
        <color theme="1"/>
        <rFont val="Franklin Gothic Medium"/>
        <family val="2"/>
      </rPr>
      <t xml:space="preserve"> Look Up</t>
    </r>
  </si>
  <si>
    <t>Coal Coke</t>
  </si>
  <si>
    <r>
      <rPr>
        <b/>
        <sz val="10"/>
        <color theme="1"/>
        <rFont val="Franklin Gothic Medium"/>
        <family val="2"/>
      </rPr>
      <t>Renewable</t>
    </r>
    <r>
      <rPr>
        <sz val="10"/>
        <color theme="1"/>
        <rFont val="Franklin Gothic Medium"/>
        <family val="2"/>
      </rPr>
      <t xml:space="preserve"> Look Up</t>
    </r>
  </si>
  <si>
    <t>Solar</t>
  </si>
  <si>
    <t>Steam and Hot Water*</t>
  </si>
  <si>
    <t xml:space="preserve">
Transportation Sector</t>
  </si>
  <si>
    <r>
      <rPr>
        <b/>
        <sz val="10"/>
        <color theme="1"/>
        <rFont val="Franklin Gothic Medium"/>
        <family val="2"/>
      </rPr>
      <t xml:space="preserve">Petroleum </t>
    </r>
    <r>
      <rPr>
        <sz val="10"/>
        <color theme="1"/>
        <rFont val="Franklin Gothic Medium"/>
        <family val="2"/>
      </rPr>
      <t>Look Up</t>
    </r>
  </si>
  <si>
    <t>Motor gasoline</t>
  </si>
  <si>
    <t>Natural Gas (pipelines and fuel)</t>
  </si>
  <si>
    <t>Renewable Fuels</t>
  </si>
  <si>
    <t>Biomass</t>
  </si>
  <si>
    <t>Current Annual 
Energy &amp; Emissions:</t>
  </si>
  <si>
    <t>Hypothetical Annual 
Energy &amp; Emissions:</t>
  </si>
  <si>
    <t>or equivalently:</t>
  </si>
  <si>
    <t>*Link to reference data tab</t>
  </si>
  <si>
    <t>IHP Calculations: https://www.energy.gov/sites/prod/files/2014/05/f15/heatpump.pdf</t>
  </si>
  <si>
    <t>Commercial Benchmark Electricity Usage via Evaporative Cooling Units</t>
  </si>
  <si>
    <t>4 fans at 50 hp each operator to cool this water, so to estimate electricity required:</t>
  </si>
  <si>
    <t>100 hp * 4 fans * 0.7457 kW/hp * 24 hours per dayday = 3579.36 kWh from grid used to cool 2 million gallons of wastewater each day</t>
  </si>
  <si>
    <t xml:space="preserve">3579.36 kWh * 3412.14 BTU / kWh * 1 MMBTU/1000000 BTUs = </t>
  </si>
  <si>
    <t xml:space="preserve"> MMBTUs per day in electricity consumption for grid to cool 2 million gallons of wastewater a day</t>
  </si>
  <si>
    <t>Waste Heat Recovery Unit/Heat Pump Calculations for Electricity Usage Required and Heating Captured/Delivered by Heat Pump</t>
  </si>
  <si>
    <t>Source:</t>
  </si>
  <si>
    <t>https://www.energy.gov/sites/prod/files/2014/05/f15/heatpump.pdf</t>
  </si>
  <si>
    <t>**see page 12</t>
  </si>
  <si>
    <t>Approach Temp:</t>
  </si>
  <si>
    <t>**assumed value based on DOE source above</t>
  </si>
  <si>
    <t>Working Fluid</t>
  </si>
  <si>
    <r>
      <t>T</t>
    </r>
    <r>
      <rPr>
        <vertAlign val="subscript"/>
        <sz val="11"/>
        <color theme="1"/>
        <rFont val="Calibri"/>
        <family val="2"/>
        <scheme val="minor"/>
      </rPr>
      <t>in</t>
    </r>
    <r>
      <rPr>
        <sz val="11"/>
        <color theme="1"/>
        <rFont val="Calibri"/>
        <family val="2"/>
        <scheme val="minor"/>
      </rPr>
      <t>:</t>
    </r>
  </si>
  <si>
    <r>
      <t>T</t>
    </r>
    <r>
      <rPr>
        <vertAlign val="subscript"/>
        <sz val="11"/>
        <color theme="1"/>
        <rFont val="Calibri"/>
        <family val="2"/>
        <scheme val="minor"/>
      </rPr>
      <t>out</t>
    </r>
    <r>
      <rPr>
        <sz val="11"/>
        <color theme="1"/>
        <rFont val="Calibri"/>
        <family val="2"/>
        <scheme val="minor"/>
      </rPr>
      <t>:</t>
    </r>
  </si>
  <si>
    <t>**assume heat generated would replace steam heat required for sterilization/hot water at 175 dF</t>
  </si>
  <si>
    <t>Heat Source (i.e. WWTR stream)</t>
  </si>
  <si>
    <t>Ideal CHP:</t>
  </si>
  <si>
    <r>
      <t>**not sure where "460" came from on page 12 of source, but assuming its t</t>
    </r>
    <r>
      <rPr>
        <i/>
        <vertAlign val="subscript"/>
        <sz val="11"/>
        <color theme="1"/>
        <rFont val="Calibri"/>
        <family val="2"/>
        <scheme val="minor"/>
      </rPr>
      <t>out</t>
    </r>
    <r>
      <rPr>
        <i/>
        <sz val="11"/>
        <color theme="1"/>
        <rFont val="Calibri"/>
        <family val="2"/>
        <scheme val="minor"/>
      </rPr>
      <t xml:space="preserve"> of working fluid x 2</t>
    </r>
  </si>
  <si>
    <r>
      <t>Assume actual COPHP is 75% ideal, so operating COP</t>
    </r>
    <r>
      <rPr>
        <vertAlign val="subscript"/>
        <sz val="11"/>
        <color theme="1"/>
        <rFont val="Calibri"/>
        <family val="2"/>
        <scheme val="minor"/>
      </rPr>
      <t>HP</t>
    </r>
    <r>
      <rPr>
        <sz val="11"/>
        <color theme="1"/>
        <rFont val="Calibri"/>
        <family val="2"/>
        <scheme val="minor"/>
      </rPr>
      <t xml:space="preserve"> is below:</t>
    </r>
  </si>
  <si>
    <t>Efficiency:</t>
  </si>
  <si>
    <r>
      <t>COP</t>
    </r>
    <r>
      <rPr>
        <vertAlign val="subscript"/>
        <sz val="11"/>
        <color theme="1"/>
        <rFont val="Calibri"/>
        <family val="2"/>
        <scheme val="minor"/>
      </rPr>
      <t>HP</t>
    </r>
    <r>
      <rPr>
        <sz val="11"/>
        <color theme="1"/>
        <rFont val="Calibri"/>
        <family val="2"/>
        <scheme val="minor"/>
      </rPr>
      <t>:</t>
    </r>
  </si>
  <si>
    <r>
      <t>Now we can calculate W</t>
    </r>
    <r>
      <rPr>
        <vertAlign val="subscript"/>
        <sz val="11"/>
        <color theme="1"/>
        <rFont val="Calibri"/>
        <family val="2"/>
        <scheme val="minor"/>
      </rPr>
      <t>in</t>
    </r>
    <r>
      <rPr>
        <sz val="11"/>
        <color theme="1"/>
        <rFont val="Calibri"/>
        <family val="2"/>
        <scheme val="minor"/>
      </rPr>
      <t>, which is the electrical input required to operate the heat pump</t>
    </r>
  </si>
  <si>
    <r>
      <t>Q</t>
    </r>
    <r>
      <rPr>
        <vertAlign val="subscript"/>
        <sz val="11"/>
        <color theme="1"/>
        <rFont val="Calibri"/>
        <family val="2"/>
        <scheme val="minor"/>
      </rPr>
      <t>in</t>
    </r>
    <r>
      <rPr>
        <sz val="11"/>
        <color theme="1"/>
        <rFont val="Calibri"/>
        <family val="2"/>
        <scheme val="minor"/>
      </rPr>
      <t xml:space="preserve"> represents the heat deliverd to the heat pump from the wastewater (i.e. heat delivered represents cooling of wastewater from 105 to 100 dF). </t>
    </r>
  </si>
  <si>
    <t>WWTR Flow:</t>
  </si>
  <si>
    <t>million gallons per day</t>
  </si>
  <si>
    <t>Density of Water:</t>
  </si>
  <si>
    <t>lbs/gallon</t>
  </si>
  <si>
    <t>C (specific heat) of water:</t>
  </si>
  <si>
    <t>BTU/lb-F</t>
  </si>
  <si>
    <r>
      <t>Q</t>
    </r>
    <r>
      <rPr>
        <vertAlign val="subscript"/>
        <sz val="11"/>
        <color theme="1"/>
        <rFont val="Calibri"/>
        <family val="2"/>
        <scheme val="minor"/>
      </rPr>
      <t>in</t>
    </r>
    <r>
      <rPr>
        <sz val="11"/>
        <color theme="1"/>
        <rFont val="Calibri"/>
        <family val="2"/>
        <scheme val="minor"/>
      </rPr>
      <t xml:space="preserve"> = </t>
    </r>
  </si>
  <si>
    <t>BTU/day</t>
  </si>
  <si>
    <t>MMBTU/day</t>
  </si>
  <si>
    <r>
      <t>W</t>
    </r>
    <r>
      <rPr>
        <vertAlign val="subscript"/>
        <sz val="11"/>
        <color theme="1"/>
        <rFont val="Calibri"/>
        <family val="2"/>
        <scheme val="minor"/>
      </rPr>
      <t>in</t>
    </r>
    <r>
      <rPr>
        <sz val="11"/>
        <color theme="1"/>
        <rFont val="Calibri"/>
        <family val="2"/>
        <scheme val="minor"/>
      </rPr>
      <t xml:space="preserve"> = </t>
    </r>
  </si>
  <si>
    <t xml:space="preserve">MMBTU/day </t>
  </si>
  <si>
    <t>Now we can calculate Qout, which is the heat delivered by the heat pump (which offsets steam demand produced through combustion of natural gas in a boiler)</t>
  </si>
  <si>
    <t>Heat Transfer Inefficiency:</t>
  </si>
  <si>
    <t>%</t>
  </si>
  <si>
    <r>
      <t>Q</t>
    </r>
    <r>
      <rPr>
        <vertAlign val="subscript"/>
        <sz val="11"/>
        <color theme="1"/>
        <rFont val="Calibri"/>
        <family val="2"/>
        <scheme val="minor"/>
      </rPr>
      <t>out</t>
    </r>
    <r>
      <rPr>
        <sz val="11"/>
        <color theme="1"/>
        <rFont val="Calibri"/>
        <family val="2"/>
        <scheme val="minor"/>
      </rPr>
      <t xml:space="preserve">= </t>
    </r>
  </si>
  <si>
    <t>Manufacturing Capital Expenses (CapEx)</t>
  </si>
  <si>
    <t>In this tab, you will estimate capital expenses (CapEx - i.e., non-recurring / one-time costs) for the new technology (left) and for the commercial benchmark (right). 
The reference production volumes (as entered into the Reference Volume tab) are shown below for each technology. If you need to change these, edit in the Reference Volume tab.</t>
  </si>
  <si>
    <r>
      <t xml:space="preserve">For the </t>
    </r>
    <r>
      <rPr>
        <b/>
        <sz val="10"/>
        <rFont val="Franklin Gothic Medium"/>
        <family val="2"/>
      </rPr>
      <t>new technology,</t>
    </r>
    <r>
      <rPr>
        <sz val="10"/>
        <rFont val="Franklin Gothic Medium"/>
        <family val="2"/>
      </rPr>
      <t xml:space="preserve"> indicate the annual production volume for the </t>
    </r>
    <r>
      <rPr>
        <u/>
        <sz val="10"/>
        <rFont val="Franklin Gothic Medium"/>
        <family val="2"/>
      </rPr>
      <t xml:space="preserve">industrial scale facility </t>
    </r>
    <r>
      <rPr>
        <sz val="10"/>
        <rFont val="Franklin Gothic Medium"/>
        <family val="2"/>
      </rPr>
      <t>that will be used to assess capital expenses (i.e., one-time expenses). This facility size will also be used as a basis to assess operating expenses in the next tab.</t>
    </r>
  </si>
  <si>
    <r>
      <t xml:space="preserve">For the </t>
    </r>
    <r>
      <rPr>
        <b/>
        <sz val="10"/>
        <rFont val="Franklin Gothic Medium"/>
        <family val="2"/>
      </rPr>
      <t>commercial benchmark,</t>
    </r>
    <r>
      <rPr>
        <sz val="10"/>
        <rFont val="Franklin Gothic Medium"/>
        <family val="2"/>
      </rPr>
      <t xml:space="preserve"> indicate the annual production volume for the </t>
    </r>
    <r>
      <rPr>
        <u/>
        <sz val="10"/>
        <rFont val="Franklin Gothic Medium"/>
        <family val="2"/>
      </rPr>
      <t xml:space="preserve">industrial scale facility </t>
    </r>
    <r>
      <rPr>
        <sz val="10"/>
        <rFont val="Franklin Gothic Medium"/>
        <family val="2"/>
      </rPr>
      <t>that will be used to assess capital expenses (i.e., one-time expenses).  This facility size will also be used as a basis to assess operating expenses in the next tab.</t>
    </r>
  </si>
  <si>
    <t>Annual Facility Production of End-use Product:</t>
  </si>
  <si>
    <t>(facility product.)</t>
  </si>
  <si>
    <t xml:space="preserve">For both the new technology (left) and commercial benchmark (right), list capital expenses in the tables below. Consider a facility of the size and typical production volume indicated above. For each item listed, name the expense and estimate the purchase price and expected lifetime (for depreciation purposes). For financed equipment, calculate and include the cost of financing. Use the spaces below to list references, assumptions and calculations. Do not include recoverable "working capital" expenses.
A default value of 5% of CapEx annually is assumed for annual equipment and facility maintenance. This value may be adjusted if desired.
</t>
  </si>
  <si>
    <t>New Technology - Capital Expenses (CapEx)</t>
  </si>
  <si>
    <t>Commerical Benchmark Technology - Capital Expenses (CapEx)</t>
  </si>
  <si>
    <t>CapEx Category</t>
  </si>
  <si>
    <r>
      <rPr>
        <b/>
        <sz val="9"/>
        <color theme="1"/>
        <rFont val="Franklin Gothic Medium"/>
        <family val="2"/>
      </rPr>
      <t>Capital Expense Items</t>
    </r>
    <r>
      <rPr>
        <sz val="9"/>
        <color theme="1"/>
        <rFont val="Franklin Gothic Medium"/>
        <family val="2"/>
      </rPr>
      <t xml:space="preserve"> 
(descriptions)</t>
    </r>
  </si>
  <si>
    <t>Purchase Price ($)</t>
  </si>
  <si>
    <t>Expected Equipment Lifetime (years)</t>
  </si>
  <si>
    <t>Annual Capital Cost for Facility ($)</t>
  </si>
  <si>
    <t>Capital Cost for Functional Unit ($)</t>
  </si>
  <si>
    <r>
      <rPr>
        <b/>
        <sz val="9"/>
        <rFont val="Franklin Gothic Medium"/>
        <family val="2"/>
      </rPr>
      <t xml:space="preserve">Scaled Annual Capital Cost ($) 
</t>
    </r>
    <r>
      <rPr>
        <sz val="9"/>
        <rFont val="Franklin Gothic Medium"/>
        <family val="2"/>
      </rPr>
      <t>(Adjusted to new tech. facility size)</t>
    </r>
  </si>
  <si>
    <t>Process Equipment</t>
  </si>
  <si>
    <t>furnaces, reactors</t>
  </si>
  <si>
    <t>Waste Heat Recovery System (e.g. IHP)</t>
  </si>
  <si>
    <t>Evaporative condensers (4 total)</t>
  </si>
  <si>
    <t>Process Equipment Total:</t>
  </si>
  <si>
    <t>Non-process Equipment</t>
  </si>
  <si>
    <t>piping, control systems, power equipment</t>
  </si>
  <si>
    <t>Piping</t>
  </si>
  <si>
    <t>Nonprocess Equipment</t>
  </si>
  <si>
    <t>piping, control systems, power equipment.</t>
  </si>
  <si>
    <t>Non-Process Equipment Total:</t>
  </si>
  <si>
    <t>Engineering &amp; Construction</t>
  </si>
  <si>
    <t>engineering, design,   procurement, construction</t>
  </si>
  <si>
    <t>Design</t>
  </si>
  <si>
    <t xml:space="preserve">Design </t>
  </si>
  <si>
    <t>Installation</t>
  </si>
  <si>
    <t>Engineering &amp; Construction Total:</t>
  </si>
  <si>
    <t>Other CapEx</t>
  </si>
  <si>
    <t>land, commissioning, contingency</t>
  </si>
  <si>
    <t>land, commissioning, contingency, spare parts.</t>
  </si>
  <si>
    <t>Other CapEx Total:</t>
  </si>
  <si>
    <t>Total Capital Expense:</t>
  </si>
  <si>
    <t>Annual Capital Equipment/Facility Maintenance (typical value 5%):</t>
  </si>
  <si>
    <t>Total Capital Expense, Including Maintenance:</t>
  </si>
  <si>
    <t>per</t>
  </si>
  <si>
    <t>(Annual Facility Production)</t>
  </si>
  <si>
    <t>(Reference Volume)</t>
  </si>
  <si>
    <t>(Scaled Facility Production, New Tech Equivalent)</t>
  </si>
  <si>
    <t>Average heat pump life expectancy: https://glascohvac.com/heating/heat-pumps/long-heat-pump-last/#:~:text=Heat%20pumps%20normally%20last%20an,your%20heat%20pump%20is%20maintenance.</t>
  </si>
  <si>
    <t>Assumed steel piping used: source notes 20-50 year life expectancy, so chose 35 years as an in-between (https://abbottsplumbing.com/plumbing-replacement/how-long-do-pipes-last/#:~:text=They%20still%20last%20a%20pretty,drain%20lines%20will%20last%20indefinitely.)</t>
  </si>
  <si>
    <t xml:space="preserve">**for "Engineering &amp; Construction" sections, I'm not sure if an expected lifetime applies, so I inputted the shortest expectancy from the equipment sections. </t>
  </si>
  <si>
    <t>For estimating heat pump costs: https://www.energy.gov/sites/prod/files/2014/05/f15/heatpump.pdf</t>
  </si>
  <si>
    <t>Costs of evaporative condensers vary based on size and application, but costs for evaproative condensers for the NH3 system priced around $250k.</t>
  </si>
  <si>
    <t>per condenser, 4 condensers total</t>
  </si>
  <si>
    <t>Per source (https://www.energy.gov/sites/prod/files/2014/05/f15/heatpump.pdf), "heat-pump systems range from" $50-200k per MMBTU of heat delivered (assuming on a per hour basis)</t>
  </si>
  <si>
    <t>MMBTUs of heat delivered per day</t>
  </si>
  <si>
    <t>MMBTUs per hour of heat delivered</t>
  </si>
  <si>
    <t>assumed price per MMBTU based on defined range above</t>
  </si>
  <si>
    <t>cost of heat pump system</t>
  </si>
  <si>
    <t>*assume install costs are 50% of equipment costs</t>
  </si>
  <si>
    <t>*assume piping and engineering design costs are the same for both scenarios</t>
  </si>
  <si>
    <t>Manufacturing Operating Expenses (OpEx)</t>
  </si>
  <si>
    <t>In this tab, you will estimate operating expenses (OpEx - i.e., recurring costs) for the new technology (left) and for the commercial benchmark (right). Operating expenses include labor, materials, energy, and other recurring costs. Materials and energy costs were calculated in prior tabs and data are reproduced here for convenience (entries may be edited directly in the Raw Materials and Manufacturing Energy tabs if edits are needed). You will enter data only for labor and (optional) other recurring costs in the blue cells of this tab. In estimates, consider the annual costs for a facility of the size indicated in the CapEx tab. The reference production volumes (as entered into the Reference Volume tab) and facility production volumes (as entered into the CapEx tab) are shown below for each technology.</t>
  </si>
  <si>
    <t>Reference Production Volume</t>
  </si>
  <si>
    <t>Annual Facility Production Volume</t>
  </si>
  <si>
    <t>(volume)</t>
  </si>
  <si>
    <t>Direct Labor Costs</t>
  </si>
  <si>
    <t>Estimate annual direct (operating) labor costs in the blue cells below, considering a facility of the size and annual production indicated in the CapEx tab. By default, annual costs are calculated from the number of full-time-equivalent (FTE) employees and annual pay rates. If data are available as a total annual labor cost instead, data may be entered directly in the "Labor Cost ($) (per year)" column, over-writing the default formulas. Do not include administrative labor in this section. The default percentage for fringe benefits and general overhead is 72% (considered a typical value) but this can be overwritten if needed.</t>
  </si>
  <si>
    <t>If labor costs are unknown, rules-of-thumb based estimation methods may be used. See the tab linked below for rules of thumb (and a calculator that will aid you in completing this section).</t>
  </si>
  <si>
    <t>Calculation Tool: Labor Cost Estimation Rules-of-Thumb</t>
  </si>
  <si>
    <t>New Technology - Direct Labor Costs</t>
  </si>
  <si>
    <t>Commercial Benchmark - Direct Labor Costs</t>
  </si>
  <si>
    <t>Number of FTE Employees</t>
  </si>
  <si>
    <t>Average Annual Pay Rate</t>
  </si>
  <si>
    <t xml:space="preserve">Employee Fringe Benefits &amp; General Overhead Rate (%) </t>
  </si>
  <si>
    <t>Annual Labor Cost ($)
(for facility of size shown above)</t>
  </si>
  <si>
    <t>Labor Cost ($)
(per reference volume)</t>
  </si>
  <si>
    <t>Scaled Annual Labor Cost ($)
(adjusted to new tech. facility size)</t>
  </si>
  <si>
    <t>Direct Labor (equipment operators &amp; supervisors)</t>
  </si>
  <si>
    <t>Total Operating Labor Cost:</t>
  </si>
  <si>
    <t>Raw Materials Costs</t>
  </si>
  <si>
    <t>Materials costs entered into the "Raw Materials" tab are reprinted here for convenience. If data need to be adjusted, make changes in the Raw Materials tab.</t>
  </si>
  <si>
    <t>Material Inputs
(list)</t>
  </si>
  <si>
    <t>Amount of Material
(to produce reference volume)</t>
  </si>
  <si>
    <t>Specific Cost ($/unit) 
(for this material)</t>
  </si>
  <si>
    <t>Annual Materials Cost ($)
(per year)</t>
  </si>
  <si>
    <t>Materials Cost ($)
(per reference volume)</t>
  </si>
  <si>
    <t>Scaled Annual Materials Cost ($)
(adjusted to new tech. facility size)</t>
  </si>
  <si>
    <t>Total Materials Cost:</t>
  </si>
  <si>
    <t>Energy Costs</t>
  </si>
  <si>
    <t>Energy costs entered into the "Manufacturing Energy" tab are reprinted here for convenience. If data need to be adjusted, make changes in the Manufacturing Energy tab.</t>
  </si>
  <si>
    <t>New Technology - Energy Cost Data</t>
  </si>
  <si>
    <t>Commercial Benchmark - Energy Cost Data</t>
  </si>
  <si>
    <t xml:space="preserve">Onsite Energy Consumption (MMBtu)
(to produce reference volume) </t>
  </si>
  <si>
    <t>Annual Energy Cost ($)</t>
  </si>
  <si>
    <t>Energy Cost ($)
(per reference volume)</t>
  </si>
  <si>
    <t>Scaled Annual Energy Cost ($)
(adjusted to new tech. facility size)</t>
  </si>
  <si>
    <t>MMBtu</t>
  </si>
  <si>
    <t>Renewable Sources</t>
  </si>
  <si>
    <t>Custom Inputs</t>
  </si>
  <si>
    <t>Total Energy Cost:</t>
  </si>
  <si>
    <t>Other Recurring Costs</t>
  </si>
  <si>
    <r>
      <t xml:space="preserve">In this optional section, enter any other significant recurring costs (not listed in the Labor, Materials, or Energy categories above) in the table below. Estimate data on an annual basis, considering a facility of the size indicated earlier. Credits (e.g., refunds from tax incentives, money received from sale of secondary products or spent materials) may also be provided in this table as negative values, if applicable. 
</t>
    </r>
    <r>
      <rPr>
        <b/>
        <sz val="10"/>
        <rFont val="Franklin Gothic Medium"/>
        <family val="2"/>
      </rPr>
      <t xml:space="preserve">Note on Overhead: </t>
    </r>
    <r>
      <rPr>
        <sz val="10"/>
        <rFont val="Franklin Gothic Medium"/>
        <family val="2"/>
      </rPr>
      <t>most indirect costs such as supplies, property tax, and R&amp;D are now excluded by default in TECHTEST. Accurate estimation of indirect costs for early-stage technologies can be challenging, and it would be unusual for these costs to drive major differences between the new technology and commercial benchmark. Including these costs generally does not significantly affect comparisons between technologies. However, if data are available, indirect costs may be included in this table for completeness. General overhead, employee fringe benefits, and facility/equipment maintenance costs are addressed elsewhere in TECHTEST (in the Labor and CapEx sections) and should not be duplicated here.</t>
    </r>
  </si>
  <si>
    <t>New Technology - Other Recurring Costs</t>
  </si>
  <si>
    <t>Commercial Benchmark - Other Recurring Costs</t>
  </si>
  <si>
    <t>Recurring Cost (description)</t>
  </si>
  <si>
    <t>Annual Recurring Cost ($)</t>
  </si>
  <si>
    <t>Recurring Cost ($)
(per reference volume)</t>
  </si>
  <si>
    <t>Scaled Annual Other Recurring Cost ($)
(adjusted to new tech. facility size)</t>
  </si>
  <si>
    <t>Water treatment management for cooling water supplied to condensers</t>
  </si>
  <si>
    <t>Total Other Recurring Cost:</t>
  </si>
  <si>
    <t>OpEx Summary</t>
  </si>
  <si>
    <t>Operating expenses listed above are summarized for each technology in the tables below.</t>
  </si>
  <si>
    <t>New Technology - OpEx Summary</t>
  </si>
  <si>
    <t>Commercial Benchmark - OpEx Summary</t>
  </si>
  <si>
    <t>OpEx Category</t>
  </si>
  <si>
    <t>Scaled Annual Recurring Cost ($)
(adjusted to new tech. facility size)</t>
  </si>
  <si>
    <t>Direct Labor Cost</t>
  </si>
  <si>
    <t>Raw Materials Cost</t>
  </si>
  <si>
    <t>Energy Cost</t>
  </si>
  <si>
    <t>Total Operating Expense:</t>
  </si>
  <si>
    <t>$20k per month for brewery water treatment services, so estimating wastewater treatment for cooling water loop to be 5% of these costs</t>
  </si>
  <si>
    <t>DOE Heat Pump Maintenance: https://www.energy.gov/energysaver/operating-and-maintaining-your-heat-pump</t>
  </si>
  <si>
    <t>per month in total brewery water/chemical treatment services.</t>
  </si>
  <si>
    <t>estimation of wastewater chemical treatment % to total brewery water treatment costs</t>
  </si>
  <si>
    <t>annual water treatment/chemical costs for evaproative coolers as part of benchmark technology</t>
  </si>
  <si>
    <t>Maintenance Hours Estimation</t>
  </si>
  <si>
    <t>Heat Pump Maintenance</t>
  </si>
  <si>
    <t>Evaporative Condenser Maintenance:</t>
  </si>
  <si>
    <t>total units</t>
  </si>
  <si>
    <t>Activity</t>
  </si>
  <si>
    <t>Frequency (instances per year)</t>
  </si>
  <si>
    <t>Time to complete (days)</t>
  </si>
  <si>
    <t>Replace filters</t>
  </si>
  <si>
    <t>Condenser Running Inspection</t>
  </si>
  <si>
    <t>Annual OH/Service (recommended by DOE)</t>
  </si>
  <si>
    <t>City Water and Biocide Pump Inspection</t>
  </si>
  <si>
    <t>Total Annual Time:</t>
  </si>
  <si>
    <t>days</t>
  </si>
  <si>
    <t>Evaporative Condenser Annual OH</t>
  </si>
  <si>
    <t xml:space="preserve">*assume an employee works </t>
  </si>
  <si>
    <t>days in a calendar year</t>
  </si>
  <si>
    <t># Employees Needed for Heat Pump Maintenance:</t>
  </si>
  <si>
    <t># Employees Needed for Evaporative Condenser Maintenance:</t>
  </si>
  <si>
    <t>This tab allows for simple conversion to the units used by TECHTEST.
The "From" and "To" units can be chosen in the yellow cells on each converter.
Each unit converter is independent, and both can be used in parallel.</t>
  </si>
  <si>
    <t>Conversion Factor:</t>
  </si>
  <si>
    <t>Input Original Values</t>
  </si>
  <si>
    <t>Converted Values</t>
  </si>
  <si>
    <t>Grid Mix Customization</t>
  </si>
  <si>
    <t>On this page, you can customize the grid mix used in the calculation of electricity generation emissions in the TECHTEST tool. The specific Grid Mix is an estimation of the percentage of various energy sources used to create powerline electricity. The 2022 current US grid mix is the default. A Moderate and Net Zero scenario are also included, and can be selected using the ”Choose Grid Mix” dropdown menu.</t>
  </si>
  <si>
    <t>2022 Default</t>
  </si>
  <si>
    <t>Custom</t>
  </si>
  <si>
    <t>Moderate</t>
  </si>
  <si>
    <t>Net Zero</t>
  </si>
  <si>
    <r>
      <t xml:space="preserve">Choose Grid Mix </t>
    </r>
    <r>
      <rPr>
        <b/>
        <i/>
        <sz val="10"/>
        <color theme="1"/>
        <rFont val="Calibri"/>
        <family val="2"/>
        <scheme val="minor"/>
      </rPr>
      <t>(select from dropdown)</t>
    </r>
  </si>
  <si>
    <r>
      <rPr>
        <b/>
        <sz val="11"/>
        <color theme="1"/>
        <rFont val="Franklin Gothic Medium"/>
        <family val="2"/>
      </rPr>
      <t>Custom Value Selector</t>
    </r>
    <r>
      <rPr>
        <sz val="10"/>
        <color theme="1"/>
        <rFont val="Franklin Gothic Medium"/>
        <family val="2"/>
      </rPr>
      <t xml:space="preserve">
</t>
    </r>
    <r>
      <rPr>
        <b/>
        <i/>
        <sz val="10"/>
        <color theme="1"/>
        <rFont val="Franklin Gothic Medium"/>
        <family val="2"/>
      </rPr>
      <t>(Only use for selecting custom grid mix)</t>
    </r>
  </si>
  <si>
    <t>Electricity Generation Technology</t>
  </si>
  <si>
    <t>Fraction of Total</t>
  </si>
  <si>
    <t>Life-Cycle Electricity generation emissions (lb CO2-eq/MMBtu electricity generated) based on IPCC data</t>
  </si>
  <si>
    <t>Default CO2-eq/MMBtu data</t>
  </si>
  <si>
    <t>Electricity Generation Technologies</t>
  </si>
  <si>
    <t>Fossil Fuels</t>
  </si>
  <si>
    <t>Other Gases</t>
  </si>
  <si>
    <t>Renewables</t>
  </si>
  <si>
    <t>Nuclear</t>
  </si>
  <si>
    <t>Hydropower</t>
  </si>
  <si>
    <t>Biomass - Wood</t>
  </si>
  <si>
    <t>Biomass - Waste</t>
  </si>
  <si>
    <t>Geothermal</t>
  </si>
  <si>
    <t>Wind</t>
  </si>
  <si>
    <r>
      <rPr>
        <u/>
        <sz val="10"/>
        <color theme="1"/>
        <rFont val="Franklin Gothic Medium"/>
        <family val="2"/>
      </rPr>
      <t>Weighted average</t>
    </r>
    <r>
      <rPr>
        <sz val="10"/>
        <color theme="1"/>
        <rFont val="Franklin Gothic Medium"/>
        <family val="2"/>
      </rPr>
      <t xml:space="preserve"> emissions for U.S. electricity generation:</t>
    </r>
  </si>
  <si>
    <t xml:space="preserve">This worksheet auto-calculates. Do not enter data in this tab. After entering data into the data input tabs, results will appear in the green cells of the summary tables below automatically. </t>
  </si>
  <si>
    <t>Project Basics</t>
  </si>
  <si>
    <t>Principal Investigator</t>
  </si>
  <si>
    <t>Project Timeline</t>
  </si>
  <si>
    <t>End-Use Market</t>
  </si>
  <si>
    <t>Market End-Use Product</t>
  </si>
  <si>
    <t>Current Annual US Production</t>
  </si>
  <si>
    <t>U.S. Production that Could be Replaced by New Technology</t>
  </si>
  <si>
    <t>U.S. Potential Production using New Technology</t>
  </si>
  <si>
    <t>(based on substitution ratios for new product, if replacing benchmark product)</t>
  </si>
  <si>
    <t>Benchmarking</t>
  </si>
  <si>
    <t>Technology Definition(s)</t>
  </si>
  <si>
    <t>Product or Application</t>
  </si>
  <si>
    <t>Current Technology Status</t>
  </si>
  <si>
    <t>Current Estimated Market Share</t>
  </si>
  <si>
    <t>Potential Future Market Share</t>
  </si>
  <si>
    <r>
      <t xml:space="preserve">New Technology 
</t>
    </r>
    <r>
      <rPr>
        <sz val="10"/>
        <color theme="1"/>
        <rFont val="Franklin Gothic Medium"/>
        <family val="2"/>
      </rPr>
      <t>(developed in this project)</t>
    </r>
  </si>
  <si>
    <r>
      <t xml:space="preserve">Commercial Benchmark
</t>
    </r>
    <r>
      <rPr>
        <sz val="10"/>
        <color theme="1"/>
        <rFont val="Franklin Gothic Medium"/>
        <family val="2"/>
      </rPr>
      <t>(used in comparisons)</t>
    </r>
  </si>
  <si>
    <r>
      <t xml:space="preserve">Other Competing Technologies
</t>
    </r>
    <r>
      <rPr>
        <sz val="10"/>
        <color theme="1"/>
        <rFont val="Franklin Gothic Medium"/>
        <family val="2"/>
      </rPr>
      <t>(list)</t>
    </r>
  </si>
  <si>
    <t>Manufacturing Cost Results</t>
  </si>
  <si>
    <t>Manufacturing Cost Comparison</t>
  </si>
  <si>
    <t>Based on Equivalent Reference Volume</t>
  </si>
  <si>
    <t>New Technology, at Industrial Scale</t>
  </si>
  <si>
    <t>Based on Facility Size</t>
  </si>
  <si>
    <t>Commercial Benchmark Scaled to Size of New Technology Facility*</t>
  </si>
  <si>
    <t>Based on Overall Potential U.S. Market</t>
  </si>
  <si>
    <t>Annual Facility Production</t>
  </si>
  <si>
    <t>Annual U.S. Production Replaced*</t>
  </si>
  <si>
    <t>Manufacturing Cost ($) for Functional Unit</t>
  </si>
  <si>
    <t>Annual Manufacturing Cost ($) for Facility</t>
  </si>
  <si>
    <t>Manufacturing Cost ($) for Overall U.S. Market</t>
  </si>
  <si>
    <t>Capital Expenses (CapEx)</t>
  </si>
  <si>
    <t>Other Capital Expenses</t>
  </si>
  <si>
    <t>Facility &amp; Equipment Maintenance</t>
  </si>
  <si>
    <t>Operating Expenses (OpEx)</t>
  </si>
  <si>
    <t>Raw Materials</t>
  </si>
  <si>
    <t>Direct Labor</t>
  </si>
  <si>
    <t>Total Manufacturing Cost</t>
  </si>
  <si>
    <t>CapEx Subtotal</t>
  </si>
  <si>
    <t>OpEx Subtotal</t>
  </si>
  <si>
    <t>Total Cost (CapEx + OpEx)</t>
  </si>
  <si>
    <t>* In this column, production volume is scaled to be equivalent to the facility production of the New Technology facility.</t>
  </si>
  <si>
    <t>* This is the potential market: the total U.S. production that could potentially be replaced by the new technology.</t>
  </si>
  <si>
    <t>This includes a scale factor for performance-equivalence (if the reference volume for the New Technology and Commercial Benchmark differ).</t>
  </si>
  <si>
    <t>The production volumes shown for the two technologies are equivalent on a performance basis ("apples to apples")</t>
  </si>
  <si>
    <r>
      <t xml:space="preserve">If the new technology were </t>
    </r>
    <r>
      <rPr>
        <u/>
        <sz val="12"/>
        <rFont val="Franklin Gothic Medium"/>
        <family val="2"/>
      </rPr>
      <t>immediately and fully deployed at its maximum U.S. market share</t>
    </r>
    <r>
      <rPr>
        <sz val="12"/>
        <rFont val="Franklin Gothic Medium"/>
        <family val="2"/>
      </rPr>
      <t xml:space="preserve"> (i.e. in the "overnight replacement" scenario), the annual potential cost savings for U.S. manufacturers is:</t>
    </r>
  </si>
  <si>
    <t>Annual Potential Cost Savings to U.S. Manufacturers</t>
  </si>
  <si>
    <t>cost savings for production replaced)</t>
  </si>
  <si>
    <t>Life Cycle Energy &amp; Emissions Results</t>
  </si>
  <si>
    <t>Life Cycle Comparison</t>
  </si>
  <si>
    <t>(Cradle to Gate)</t>
  </si>
  <si>
    <t>(Cradle to Grave)</t>
  </si>
  <si>
    <t>Production Volume</t>
  </si>
  <si>
    <t>Emissions (100-yr GWP)</t>
  </si>
  <si>
    <t>Cradle-to-Gate</t>
  </si>
  <si>
    <t>Cradle-to-Gate Energy**</t>
  </si>
  <si>
    <t>Cradle-to-Gate Total</t>
  </si>
  <si>
    <t>Gate-to-Grave***</t>
  </si>
  <si>
    <t>Use Phase</t>
  </si>
  <si>
    <t>* While cradle-to-grave energy is tied to a specific production volume, gate-to-grave energy (use phase) is tied to a scenario involving an overall "fleet" of products (produced using different technologies, in different years, etc.). In this analysis, use phase energy is computed only as an annual total and not in terms of the reference volume.</t>
  </si>
  <si>
    <t>Total Energy</t>
  </si>
  <si>
    <t>Cradle-to-Gate Subtotal</t>
  </si>
  <si>
    <t>Gate-to-Grave Subtotal</t>
  </si>
  <si>
    <t>Total Energy (Cradle-to-Grave)</t>
  </si>
  <si>
    <r>
      <t xml:space="preserve">** Cradle-to-gate energy is computed in terms of the </t>
    </r>
    <r>
      <rPr>
        <u/>
        <sz val="10"/>
        <color theme="1"/>
        <rFont val="Franklin Gothic Medium"/>
        <family val="2"/>
      </rPr>
      <t>total annual U.S. production ("overnight replacement" scenario or current).</t>
    </r>
  </si>
  <si>
    <r>
      <t xml:space="preserve">** Gate-to-grave energy is computed in terms of the </t>
    </r>
    <r>
      <rPr>
        <u/>
        <sz val="10"/>
        <color theme="1"/>
        <rFont val="Franklin Gothic Medium"/>
        <family val="2"/>
      </rPr>
      <t>overall fleet of products in use ("overnight replacement" scenario or current).</t>
    </r>
  </si>
  <si>
    <r>
      <t xml:space="preserve">If the new technology were </t>
    </r>
    <r>
      <rPr>
        <u/>
        <sz val="12"/>
        <rFont val="Franklin Gothic Medium"/>
        <family val="2"/>
      </rPr>
      <t>immediately and fully deployed at its maximum U.S. market share</t>
    </r>
    <r>
      <rPr>
        <sz val="12"/>
        <rFont val="Franklin Gothic Medium"/>
        <family val="2"/>
      </rPr>
      <t xml:space="preserve"> (i.e. in the "overnight replacement" scenario), the annual potential life cycle energy &amp; emissions impact for the U.S. market is:</t>
    </r>
  </si>
  <si>
    <r>
      <t xml:space="preserve">Annual Potential U.S. Lifetime Energy </t>
    </r>
    <r>
      <rPr>
        <u/>
        <sz val="12"/>
        <color rgb="FF00B050"/>
        <rFont val="Franklin Gothic Medium"/>
        <family val="2"/>
      </rPr>
      <t>Savings</t>
    </r>
  </si>
  <si>
    <t>energy savings in affected markets)</t>
  </si>
  <si>
    <r>
      <t xml:space="preserve">Annual Potential U.S. Emissions </t>
    </r>
    <r>
      <rPr>
        <u/>
        <sz val="12"/>
        <color rgb="FF00B050"/>
        <rFont val="Franklin Gothic Medium"/>
        <family val="2"/>
      </rPr>
      <t>Reduction</t>
    </r>
  </si>
  <si>
    <t>emissions reduction in affected markets)</t>
  </si>
  <si>
    <t>For summary plots, see the next tab.</t>
  </si>
  <si>
    <t>The data below are used in calculations. Do not delete or hide these columns!</t>
  </si>
  <si>
    <t xml:space="preserve">Note 1: Results will populate as data entried are made in the tool. </t>
  </si>
  <si>
    <t xml:space="preserve"> Results in charts below are in annual impact, some inputs have been scaled up from a per functional unit basis. </t>
  </si>
  <si>
    <t>Manufacturing Cost Comparison for Reference Volume</t>
  </si>
  <si>
    <r>
      <t xml:space="preserve">Cradle-to-Gate </t>
    </r>
    <r>
      <rPr>
        <b/>
        <sz val="11"/>
        <rFont val="Franklin Gothic Medium"/>
        <family val="2"/>
      </rPr>
      <t xml:space="preserve">Cost </t>
    </r>
    <r>
      <rPr>
        <sz val="11"/>
        <rFont val="Franklin Gothic Medium"/>
        <family val="2"/>
      </rPr>
      <t>/ Reference Volume</t>
    </r>
  </si>
  <si>
    <r>
      <t xml:space="preserve">Cradle-to-Gate </t>
    </r>
    <r>
      <rPr>
        <b/>
        <sz val="11"/>
        <rFont val="Franklin Gothic Medium"/>
        <family val="2"/>
      </rPr>
      <t xml:space="preserve">Energy </t>
    </r>
    <r>
      <rPr>
        <sz val="11"/>
        <rFont val="Franklin Gothic Medium"/>
        <family val="2"/>
      </rPr>
      <t>/ Reference Volume</t>
    </r>
  </si>
  <si>
    <r>
      <t xml:space="preserve">Cradle-to-Gate </t>
    </r>
    <r>
      <rPr>
        <b/>
        <sz val="11"/>
        <rFont val="Franklin Gothic Medium"/>
        <family val="2"/>
      </rPr>
      <t xml:space="preserve">Emissions </t>
    </r>
    <r>
      <rPr>
        <sz val="11"/>
        <rFont val="Franklin Gothic Medium"/>
        <family val="2"/>
      </rPr>
      <t>/ Reference Volume</t>
    </r>
  </si>
  <si>
    <r>
      <t xml:space="preserve">Cradle-to-Gate </t>
    </r>
    <r>
      <rPr>
        <b/>
        <sz val="11"/>
        <rFont val="Franklin Gothic Medium"/>
        <family val="2"/>
      </rPr>
      <t>Cost</t>
    </r>
    <r>
      <rPr>
        <sz val="11"/>
        <rFont val="Franklin Gothic Medium"/>
        <family val="2"/>
      </rPr>
      <t xml:space="preserve"> / Entire U.S. Market</t>
    </r>
  </si>
  <si>
    <r>
      <t xml:space="preserve">Cradle-to-Grave </t>
    </r>
    <r>
      <rPr>
        <b/>
        <sz val="11"/>
        <rFont val="Franklin Gothic Medium"/>
        <family val="2"/>
      </rPr>
      <t xml:space="preserve">Energy </t>
    </r>
    <r>
      <rPr>
        <sz val="11"/>
        <rFont val="Franklin Gothic Medium"/>
        <family val="2"/>
      </rPr>
      <t>/ Entire U.S. Market</t>
    </r>
  </si>
  <si>
    <r>
      <t xml:space="preserve">Cradle-to-Grave </t>
    </r>
    <r>
      <rPr>
        <b/>
        <sz val="11"/>
        <rFont val="Franklin Gothic Medium"/>
        <family val="2"/>
      </rPr>
      <t xml:space="preserve">Emissions </t>
    </r>
    <r>
      <rPr>
        <sz val="11"/>
        <rFont val="Franklin Gothic Medium"/>
        <family val="2"/>
      </rPr>
      <t>/ Entire U.S. Market</t>
    </r>
  </si>
  <si>
    <t>New Technology, Industrial Scale</t>
  </si>
  <si>
    <t>Manufacturing Cost Comparison 
(for Reference Volume)</t>
  </si>
  <si>
    <t>Cradle-to-Gate Energy Comparison 
(for Reference Volume)</t>
  </si>
  <si>
    <t>Cradle-to-Gate Emissions Comparison 
(for Reference Volume)</t>
  </si>
  <si>
    <t>Manufacturing Cost Comparison 
(for Potential U.S. Market)</t>
  </si>
  <si>
    <t>Cradle-to-Grave Energy Comparison 
(for Potential U.S. Market)</t>
  </si>
  <si>
    <t>Cradle-to-Grave Emissions Comparison 
(for Potential U.S. Market)</t>
  </si>
  <si>
    <t>Label (if &gt;2%)</t>
  </si>
  <si>
    <t>New Technology 
(at Industrial Scale)</t>
  </si>
  <si>
    <t>Commercial 
Benchmark</t>
  </si>
  <si>
    <t>Hypothetical
(Fully Deployed)</t>
  </si>
  <si>
    <t>Current
(Pre-Deployment)</t>
  </si>
  <si>
    <t>CapEx Costs</t>
  </si>
  <si>
    <t>Labor Costs</t>
  </si>
  <si>
    <t>Other Costs</t>
  </si>
  <si>
    <t>Manufacturing Cost Comparison for US Market</t>
  </si>
  <si>
    <t>Manufacturing Energy Comparison for Reference Volume</t>
  </si>
  <si>
    <t>Raw Materials Energy</t>
  </si>
  <si>
    <t>Manufacturing Energy</t>
  </si>
  <si>
    <t>Energy Comparison for US Market</t>
  </si>
  <si>
    <t>Potential Manufacturing Cost Savings
per Reference Volume Manufactured:</t>
  </si>
  <si>
    <t>Potential Cradle-to-Gate Energy Savings
per Reference Volume Manufactured:</t>
  </si>
  <si>
    <t>Potential Cradle-to-Gate Emissions Reduction
per Reference Volume Manufactured:</t>
  </si>
  <si>
    <t>Annual Potential Cost Savings 
to U.S. Manufacturers:</t>
  </si>
  <si>
    <t>Annual Potential Life Cycle Energy Savings 
for Affected U.S. Markets:</t>
  </si>
  <si>
    <t>saved per ref. volume</t>
  </si>
  <si>
    <t>saved per year</t>
  </si>
  <si>
    <t>cost savings per unit of production replaced</t>
  </si>
  <si>
    <t>manufacturing energy savings per unit of production replaced</t>
  </si>
  <si>
    <t>life cycle energy savings in affected markets</t>
  </si>
  <si>
    <t>life cycle emissions reduction in affected markets</t>
  </si>
  <si>
    <t>Use Phase Energy</t>
  </si>
  <si>
    <t>Cost Impact Summary (Reference Volume)</t>
  </si>
  <si>
    <t>Energy Impact Summary (Reference Volume)</t>
  </si>
  <si>
    <t>Emissions (GWP) Impact Summary (Reference Volume)</t>
  </si>
  <si>
    <t>Cost Impact Summary (U.S. Manufacturers)</t>
  </si>
  <si>
    <t>Energy Impact Summary (U.S. Market)</t>
  </si>
  <si>
    <t>Emissions (GWP) Impact Summary (U.S. Market)</t>
  </si>
  <si>
    <t>Manufacturing Cost Category</t>
  </si>
  <si>
    <t>Cost Savings</t>
  </si>
  <si>
    <t>Life Cycle Phase</t>
  </si>
  <si>
    <t>Energy Savings</t>
  </si>
  <si>
    <t>Emissions (GWP) Reduction</t>
  </si>
  <si>
    <t>Manufacturing Emissions Comparison for Reference Volume</t>
  </si>
  <si>
    <t>Capital Expenses</t>
  </si>
  <si>
    <t>Raw Mater. Embodied Energy</t>
  </si>
  <si>
    <t>Energy (Utilities)</t>
  </si>
  <si>
    <t>Total Energy Savings</t>
  </si>
  <si>
    <t>Raw Materials Emissions</t>
  </si>
  <si>
    <t>Manufacturing Emissions</t>
  </si>
  <si>
    <t>Total Cost Savings</t>
  </si>
  <si>
    <t>Key</t>
  </si>
  <si>
    <t>Net Savings</t>
  </si>
  <si>
    <t>Even</t>
  </si>
  <si>
    <t>Net Increase</t>
  </si>
  <si>
    <t>Use Phase Emissions</t>
  </si>
  <si>
    <t>Rapid Data Input Data Sheet</t>
  </si>
  <si>
    <t>This is the data input sheet for the Rapid Data Entry Approach. This approach, which requires high-level data entries only, is intended for users who have already completed an analysis in another format, but wish to quickly "port" results into TECHTEST to generate results tables and dashboards in the standardized IPA format. 
To use this method, first complete the "Project Basics and Benchmarks" and "Metrics" (Tier 1) data input tabs, linked below:</t>
  </si>
  <si>
    <t>Performance Metrics (Tier 1)</t>
  </si>
  <si>
    <t>Then, enter high-level data in the blue input cells in this sheet. Results will be summarized in the two Results tabs that follow.</t>
  </si>
  <si>
    <t>Enter the current annual U.S. production for the market end-use product.</t>
  </si>
  <si>
    <t>Current Annual U.S. Production</t>
  </si>
  <si>
    <t>Units for Annual U.S. Production</t>
  </si>
  <si>
    <t>Complete the benchmarking table by defining the new technology and competing technologies, estimating curent and potential market shares, and providing the annual production of typical facilities for each technology.</t>
  </si>
  <si>
    <t>Current Technology Status (Emerging, State of Art, Current Typical)</t>
  </si>
  <si>
    <t>Current Estimated Market Share for This Technology (%)</t>
  </si>
  <si>
    <t>Potential Future Market Share for This Technology (%)</t>
  </si>
  <si>
    <t>n/a</t>
  </si>
  <si>
    <r>
      <t xml:space="preserve">* Input the annual production volume of a </t>
    </r>
    <r>
      <rPr>
        <u/>
        <sz val="10"/>
        <color theme="1"/>
        <rFont val="Franklin Gothic Medium"/>
        <family val="2"/>
      </rPr>
      <t>typical commercial facility</t>
    </r>
    <r>
      <rPr>
        <sz val="10"/>
        <color theme="1"/>
        <rFont val="Franklin Gothic Medium"/>
        <family val="2"/>
      </rPr>
      <t xml:space="preserve"> for the Commercial Benchmark technology, and a </t>
    </r>
    <r>
      <rPr>
        <u/>
        <sz val="10"/>
        <color theme="1"/>
        <rFont val="Franklin Gothic Medium"/>
        <family val="2"/>
      </rPr>
      <t>hypothetical industrial scale facility</t>
    </r>
    <r>
      <rPr>
        <sz val="10"/>
        <color theme="1"/>
        <rFont val="Franklin Gothic Medium"/>
        <family val="2"/>
      </rPr>
      <t xml:space="preserve"> for the New Technology.</t>
    </r>
  </si>
  <si>
    <r>
      <t xml:space="preserve">for </t>
    </r>
    <r>
      <rPr>
        <u/>
        <sz val="10"/>
        <color theme="1"/>
        <rFont val="Franklin Gothic Medium"/>
        <family val="2"/>
      </rPr>
      <t>New Technology</t>
    </r>
  </si>
  <si>
    <t>Enter the reference volumes to be used in this analysis. Values should be equivalent for the New Technology and Commercial Benchmark.</t>
  </si>
  <si>
    <r>
      <t xml:space="preserve">for </t>
    </r>
    <r>
      <rPr>
        <u/>
        <sz val="10"/>
        <color theme="1"/>
        <rFont val="Franklin Gothic Medium"/>
        <family val="2"/>
      </rPr>
      <t>Commercial Benchmark Technology</t>
    </r>
  </si>
  <si>
    <t>* All manufacturing costs and data will be provided in terms of this reference volume. Units should match those used to describe annual U.S. production.</t>
  </si>
  <si>
    <r>
      <t xml:space="preserve">The equivalent reference volume for the Commercial Benchmark should be equivalent on a </t>
    </r>
    <r>
      <rPr>
        <u/>
        <sz val="10"/>
        <rFont val="Franklin Gothic Medium"/>
        <family val="2"/>
      </rPr>
      <t>mass substitution</t>
    </r>
    <r>
      <rPr>
        <sz val="10"/>
        <rFont val="Franklin Gothic Medium"/>
        <family val="2"/>
      </rPr>
      <t xml:space="preserve"> (performance equivalent) basis.</t>
    </r>
  </si>
  <si>
    <t>Potential U.S. Market Size</t>
  </si>
  <si>
    <t>(based on annual U.S. production and potential future market share for new technology)</t>
  </si>
  <si>
    <t>(autocalculates from above)</t>
  </si>
  <si>
    <t>(equivalent quantity, adjusting for substitution ratio)</t>
  </si>
  <si>
    <t>Manufacturing Costs for Reference Volume</t>
  </si>
  <si>
    <t xml:space="preserve">Enter the manufacturing CapEx (amortized) and manufacturing OpEx, considering the reference volume. </t>
  </si>
  <si>
    <t>Manufacturing Cost ($) for Reference Volume</t>
  </si>
  <si>
    <t>Facility/Equipment Maintenance</t>
  </si>
  <si>
    <t>(Rule of thumb: 5% of capital expenses)</t>
  </si>
  <si>
    <t>Energy &amp; Emissions Comparison</t>
  </si>
  <si>
    <t>Cradle-to-Gate Energy &amp; Emissions for Reference Volume</t>
  </si>
  <si>
    <t>Enter the raw materials embodied energy and emissions, and the manufacturing energy and emissions, considering the reference volume.</t>
  </si>
  <si>
    <t>Primary Energy Consumption (including offsite electricity losses) for Reference Volume (MMBtu)</t>
  </si>
  <si>
    <t>Emissions (100-year GWP, lbs CO2-eq) for Reference Volume</t>
  </si>
  <si>
    <t>Raw Materials*</t>
  </si>
  <si>
    <t>Manufacturing**</t>
  </si>
  <si>
    <t>* Sum embodied energy (or emissions) for all raw materials used in manufacturing, using actual or proxy materials depending on data availability. The MFI tool is a useful resource for this task; see mini-tool linked below.</t>
  </si>
  <si>
    <t>** Include onsite manufacturing energy consumption for process and non-process uses, offsite electricity losses, 100-year GWP emissions, and process emissions. For emissions data by energy source, see the reference data tab linked below.</t>
  </si>
  <si>
    <t>Reference Data: Global Warming Potentials</t>
  </si>
  <si>
    <r>
      <t xml:space="preserve">Enter the use phase energy and emissions, considering the overall potential U.S. market for the new technology. 
</t>
    </r>
    <r>
      <rPr>
        <sz val="10"/>
        <color theme="1" tint="0.499984740745262"/>
        <rFont val="Franklin Gothic Medium"/>
        <family val="2"/>
      </rPr>
      <t xml:space="preserve">
Raw materials and manufacturing energy are automatically calculated based on the entries above, by scaling to the entire potential U.S. market.</t>
    </r>
  </si>
  <si>
    <t>Cradle-to-Grave Energy &amp; Emissions for Reference Volume</t>
  </si>
  <si>
    <t>Replaceable Production Volume*</t>
  </si>
  <si>
    <t>Gate-to-Grave</t>
  </si>
  <si>
    <t>Cradle-to-Grave Total</t>
  </si>
  <si>
    <t>* The potential U.S. market is the total potentially replaceable portion of the overall U.S. market. The production volume for the new technology is adjusted by the substitution ratio, which is unity if equivalent reference volumes are identical.</t>
  </si>
  <si>
    <t>X box when this sheet is complete:</t>
  </si>
  <si>
    <t xml:space="preserve">This worksheet auto-calculates. Do not enter data in this tab. After entering data into the Method 2 data input tabs, results will appear in the green cells of the summary tables below automatically. </t>
  </si>
  <si>
    <t>MYPP Technology Area, if any</t>
  </si>
  <si>
    <r>
      <t xml:space="preserve">Annual Potential U.S. Energy </t>
    </r>
    <r>
      <rPr>
        <u/>
        <sz val="12"/>
        <color rgb="FF00B050"/>
        <rFont val="Franklin Gothic Medium"/>
        <family val="2"/>
      </rPr>
      <t>Savings</t>
    </r>
  </si>
  <si>
    <t xml:space="preserve">Note: Results will populate as data entried are made in the tool. </t>
  </si>
  <si>
    <t>CapEx</t>
  </si>
  <si>
    <t>Labor</t>
  </si>
  <si>
    <t xml:space="preserve"> Expense Comparison Tool</t>
  </si>
  <si>
    <r>
      <t xml:space="preserve">This is an </t>
    </r>
    <r>
      <rPr>
        <b/>
        <sz val="10"/>
        <rFont val="Franklin Gothic Medium"/>
        <family val="2"/>
      </rPr>
      <t>optional module</t>
    </r>
    <r>
      <rPr>
        <sz val="10"/>
        <rFont val="Franklin Gothic Medium"/>
        <family val="2"/>
      </rPr>
      <t xml:space="preserve"> that will compare total lifecycle costs of the business as usual and new technology. The </t>
    </r>
    <r>
      <rPr>
        <b/>
        <i/>
        <sz val="10"/>
        <rFont val="Franklin Gothic Medium"/>
        <family val="2"/>
      </rPr>
      <t>cradle to gate</t>
    </r>
    <r>
      <rPr>
        <sz val="10"/>
        <rFont val="Franklin Gothic Medium"/>
        <family val="2"/>
      </rPr>
      <t xml:space="preserve"> costs are generated from the other tabs already completed. Below life-cycle costs that were not included in other sheets can be included on a yearly basis. The </t>
    </r>
    <r>
      <rPr>
        <b/>
        <i/>
        <sz val="10"/>
        <rFont val="Franklin Gothic Medium"/>
        <family val="2"/>
      </rPr>
      <t>Total Lifetime in Years</t>
    </r>
    <r>
      <rPr>
        <sz val="10"/>
        <rFont val="Franklin Gothic Medium"/>
        <family val="2"/>
      </rPr>
      <t xml:space="preserve"> input is required for new inputs. A rough estimate for the lifetime will suffice if there is not sufficient data. 
</t>
    </r>
    <r>
      <rPr>
        <b/>
        <sz val="10"/>
        <rFont val="Franklin Gothic Medium"/>
        <family val="2"/>
      </rPr>
      <t>These results can be viewed as an independent output.</t>
    </r>
  </si>
  <si>
    <t>Annual New Technology Lifetime Costs</t>
  </si>
  <si>
    <t>Annual BAU Lifetime Costs</t>
  </si>
  <si>
    <t>Total Cost Per Functional Unit</t>
  </si>
  <si>
    <t>Total Cost</t>
  </si>
  <si>
    <t xml:space="preserve">Total Lifetime in Years :  </t>
  </si>
  <si>
    <t>% Improvement</t>
  </si>
  <si>
    <t>Cost per Year of Use</t>
  </si>
  <si>
    <t>Cost per Year</t>
  </si>
  <si>
    <t>Cradle to Gate Costs</t>
  </si>
  <si>
    <t>Lifetime Manufacturing Energy Costs</t>
  </si>
  <si>
    <t>Total Manufacturing Energy Costs</t>
  </si>
  <si>
    <t>Lifetime Raw Materal Cost</t>
  </si>
  <si>
    <t>Total Raw Material Cost</t>
  </si>
  <si>
    <t>Lifetime Capex</t>
  </si>
  <si>
    <t xml:space="preserve">Total Capex </t>
  </si>
  <si>
    <t>Lifetime Opex</t>
  </si>
  <si>
    <t>Total Opex</t>
  </si>
  <si>
    <t>Lifetime Use Phase Energy Cost</t>
  </si>
  <si>
    <t>Total Use Phase Energy Cost</t>
  </si>
  <si>
    <t>Yearly Other Use Phase Costs</t>
  </si>
  <si>
    <t>Description</t>
  </si>
  <si>
    <t>Value per Year of Use</t>
  </si>
  <si>
    <t>Units</t>
  </si>
  <si>
    <t>Cost per Unit</t>
  </si>
  <si>
    <t>IPA Excel Mini-Tool for Extracting Embodied Energy from MFI Results</t>
  </si>
  <si>
    <t>The National Renewable Energy Laboratory (NREL) Materials Flow Through Industry (MFI) tool can be used to extract embodied energy and embodied carbon (100-year GWP) for any material available in its inventory.
Steps for calculating the embodied energy (Btu/lb) and embodied carbon (lb CO2-eq GWP) for a material using the MFI tool:</t>
  </si>
  <si>
    <t>1. Access the MFI tool online. If you are not yet an MFI user, request a log-in account to gain access. (New user accounts are added manually at NREL, which may take a day or two.)</t>
  </si>
  <si>
    <t>Link to MFI tool online: https://mfitool.nrel.gov/</t>
  </si>
  <si>
    <t>2. Click the "explore recipes" button and search for the material of interest by entering search terms.</t>
  </si>
  <si>
    <t>3. Once you have found the most relevant material, note its name and sector by clicking the "Show" button and then choosing the purple arrow next to the product's name to show additional information.</t>
  </si>
  <si>
    <t>4. Return to the main interface by clicking the Materials Flow Through Industry title at the top-left of the page; then click the "Build New Scenario" button.</t>
  </si>
  <si>
    <t>5. Build your scenario. Enter a scenario name (such as the material's name), then select the material of interest from dropdown menus by selecting its sector and end-product. Do not modify the default end product quantity of 1000 kg or any other settings. At the bottom of the page, click "Submit."</t>
  </si>
  <si>
    <t>6. The next page will summarize the scenario you have created. Scroll to the bottom and click "Run Scenario (Excel)." This may take several minutes. When complete, the results file will appear in your download tray.</t>
  </si>
  <si>
    <t>7. Once the Excel results file downloads (this may take a few minutes), open the file and navigate to the "Total Fuels" tab. Copy/paste non-zero data rows from cells B7:L15 into the light blue cells below. The last few row(s) might be blank, depending on the material. (Header row should match.)</t>
  </si>
  <si>
    <t>Process</t>
  </si>
  <si>
    <t>Feedstock</t>
  </si>
  <si>
    <t>Transportation
Net</t>
  </si>
  <si>
    <t>Net</t>
  </si>
  <si>
    <t>Primary</t>
  </si>
  <si>
    <t>Avoided</t>
  </si>
  <si>
    <t>8. Next, navigate to the "Total Emissions" tab and copy/paste non-zero data rows from cells B7:I15 into the cells below. The last few row(s) might be blank, depending on the material. (Header row should match.)</t>
  </si>
  <si>
    <t xml:space="preserve"> Process</t>
  </si>
  <si>
    <t>Transportation Net</t>
  </si>
  <si>
    <t>9. Embodied energy and embodied carbon calculations (in metric and English units) will appear in the the table below. Embodied carbon is expressed as a 100-year GWP.</t>
  </si>
  <si>
    <t>Embodied Energy (MJ/kg)</t>
  </si>
  <si>
    <t>Embodied Carbon 
(kg CO2-eq/kg)</t>
  </si>
  <si>
    <t>Embodied Energy (Btu/lb)</t>
  </si>
  <si>
    <t>Embodied Carbon (lbs CO2-eq/lb)</t>
  </si>
  <si>
    <t>Process Related - Non-Electric</t>
  </si>
  <si>
    <t>Process Related - Electric</t>
  </si>
  <si>
    <t>Feedstocks</t>
  </si>
  <si>
    <t xml:space="preserve"> - </t>
  </si>
  <si>
    <t>Total Embodied Energy or Carbon</t>
  </si>
  <si>
    <r>
      <t xml:space="preserve">10. </t>
    </r>
    <r>
      <rPr>
        <u/>
        <sz val="10"/>
        <color theme="1"/>
        <rFont val="Franklin Gothic Medium"/>
        <family val="2"/>
      </rPr>
      <t>Only if you wish to use units other than pounds to quantify this raw material</t>
    </r>
    <r>
      <rPr>
        <sz val="10"/>
        <color theme="1"/>
        <rFont val="Franklin Gothic Medium"/>
        <family val="2"/>
      </rPr>
      <t>: convert units below by specifying the conversion factor and unit used for analysis in the purple cells. 
(If using pounds, do not edit this section; leave the conversion at 1 lb = 1 lb and your end results will match the values in the table above.</t>
    </r>
  </si>
  <si>
    <t>Conversion:</t>
  </si>
  <si>
    <t xml:space="preserve">1 lb = </t>
  </si>
  <si>
    <t>lb</t>
  </si>
  <si>
    <t>(conversion)*</t>
  </si>
  <si>
    <t>(alternate quantity unit for this input material)</t>
  </si>
  <si>
    <r>
      <t xml:space="preserve">11. </t>
    </r>
    <r>
      <rPr>
        <b/>
        <u/>
        <sz val="10"/>
        <color theme="1"/>
        <rFont val="Franklin Gothic Medium"/>
        <family val="2"/>
      </rPr>
      <t>RESULTS:</t>
    </r>
    <r>
      <rPr>
        <b/>
        <sz val="10"/>
        <color theme="1"/>
        <rFont val="Franklin Gothic Medium"/>
        <family val="2"/>
      </rPr>
      <t xml:space="preserve"> </t>
    </r>
    <r>
      <rPr>
        <sz val="10"/>
        <color theme="1"/>
        <rFont val="Franklin Gothic Medium"/>
        <family val="2"/>
      </rPr>
      <t>Copy and paste (as values) the embodied energy and embodied carbon results (cells highlighted in green) into the Raw Materials tab, in the cells for the corresponding input material.</t>
    </r>
  </si>
  <si>
    <t>The embodied energy and  carbon for this material are:</t>
  </si>
  <si>
    <t>←  Green cells show the specific embodied energy and embodied carbon.</t>
  </si>
  <si>
    <r>
      <t xml:space="preserve"> Copy and paste these values into the Raw Materials sheet (</t>
    </r>
    <r>
      <rPr>
        <b/>
        <u/>
        <sz val="10"/>
        <color rgb="FF00B050"/>
        <rFont val="Franklin Gothic Medium"/>
        <family val="2"/>
      </rPr>
      <t>pasting as values</t>
    </r>
    <r>
      <rPr>
        <b/>
        <sz val="10"/>
        <color rgb="FF00B050"/>
        <rFont val="Franklin Gothic Medium"/>
        <family val="2"/>
      </rPr>
      <t>).</t>
    </r>
  </si>
  <si>
    <t>Values will match the Total Embodied Energy or Carbon results shown in the last row of the results summary table above, if units of pounds were used to quantify the raw material. If units other than pounds were used, these will be converted values (based on the conversion given in the purple cells).</t>
  </si>
  <si>
    <t>TIP: You will use this mini-tool for EACH input material in the Raw Materials tab. Many users find it helpful to duplicate a fresh copy of this tab for each raw material.</t>
  </si>
  <si>
    <t>Return to Raw Materials tab</t>
  </si>
  <si>
    <t>IPA Labor Estimation Rules-of-Thumb &amp; Calculation Mini-Tool</t>
  </si>
  <si>
    <r>
      <t xml:space="preserve">If labor costs are unknown, rules-of-thumb may be used to estimate the costs. For consistency, the IPA Team suggests using the rules-of-thumb given in Harry Silla's textbook, </t>
    </r>
    <r>
      <rPr>
        <i/>
        <sz val="10"/>
        <rFont val="Franklin Gothic Medium"/>
        <family val="2"/>
      </rPr>
      <t>Chemical Process Engineering: Design and Economics</t>
    </r>
    <r>
      <rPr>
        <sz val="10"/>
        <rFont val="Franklin Gothic Medium"/>
        <family val="2"/>
      </rPr>
      <t xml:space="preserve"> (Marcel Dekker, 2003). The key rules-of-thumb are reproduced here, along with a simple calculator at the bottom of the tab. The IPA Team recognizes that these rules of thumb were developed for chemicals manufacturing applications, and may not be directly applicable to all AMO-funded technologies. However, the dependencies of labor costs on process type, complexity, and capacity (as presented below) will be relevant to many types of technologies and may be used as approximations.</t>
    </r>
  </si>
  <si>
    <t>Direct Labor Estimation Rules-of-Thumb</t>
  </si>
  <si>
    <r>
      <t xml:space="preserve">The </t>
    </r>
    <r>
      <rPr>
        <b/>
        <sz val="10"/>
        <color theme="1"/>
        <rFont val="Franklin Gothic Medium"/>
        <family val="2"/>
      </rPr>
      <t xml:space="preserve">operating labor </t>
    </r>
    <r>
      <rPr>
        <sz val="10"/>
        <color theme="1"/>
        <rFont val="Franklin Gothic Medium"/>
        <family val="2"/>
      </rPr>
      <t>required for a manufacturing process depends on multiple factors, including process type, complexity, and capacity. While experience- or data-based estimates are ideal, the following rule-of-thumb formula (Equation 2.1 in Silla 2003), originally developed for chemicals production, may be used to estimate the number of operator labor hours required to produce 1 kg of product.</t>
    </r>
  </si>
  <si>
    <t>where:</t>
  </si>
  <si>
    <t>L = number of operator labor hours required to produce 1 kg of product</t>
  </si>
  <si>
    <t>K = process-productivity factor (see table below)</t>
  </si>
  <si>
    <t>N = number of significant process units, used as a proxy for process complexity (see guidelines below).</t>
  </si>
  <si>
    <t>p = yearly fractional increase in productivity (taken as p = 0.02 based on empirical evidence collected by Cevidalli and Zaidman)</t>
  </si>
  <si>
    <t>n = number of years since 1952 base year</t>
  </si>
  <si>
    <r>
      <t xml:space="preserve">m = facility production rate, in kg/hr </t>
    </r>
    <r>
      <rPr>
        <sz val="10"/>
        <color theme="4"/>
        <rFont val="Franklin Gothic Medium"/>
        <family val="2"/>
      </rPr>
      <t>(note: this sheet uses lb/hr for consistency and converts to kg/hr within the formula)</t>
    </r>
  </si>
  <si>
    <t>b = capacity exponent (see table below)</t>
  </si>
  <si>
    <r>
      <t xml:space="preserve">Direct labor also include </t>
    </r>
    <r>
      <rPr>
        <b/>
        <sz val="10"/>
        <color theme="1"/>
        <rFont val="Franklin Gothic Medium"/>
        <family val="2"/>
      </rPr>
      <t>operating supervision</t>
    </r>
    <r>
      <rPr>
        <sz val="10"/>
        <color theme="1"/>
        <rFont val="Franklin Gothic Medium"/>
        <family val="2"/>
      </rPr>
      <t>, which can be estimated at 20% of the operating labor cost. We'll add 20% for operator supervision labor after calculating the operator labor hours.</t>
    </r>
  </si>
  <si>
    <t xml:space="preserve">To determine the values of b and K, consult the table below, excerpted from Silla 2003, Table 2.4: </t>
  </si>
  <si>
    <t>Capacity Exponents (b) and Process-Productivity Factors (K)</t>
  </si>
  <si>
    <t>Process-Productivity Factor, K</t>
  </si>
  <si>
    <t>Process Type</t>
  </si>
  <si>
    <t>Low Capacity*
b = 0.76</t>
  </si>
  <si>
    <t>High Capacity
b = 0.84</t>
  </si>
  <si>
    <t>Batch</t>
  </si>
  <si>
    <t>Continuous (normally automated)</t>
  </si>
  <si>
    <t>Continuous (highly automated)</t>
  </si>
  <si>
    <t>* Low Capacity: &lt;5670 kg/h (&lt;12,500 lb/h) for chemicals manufacturing</t>
  </si>
  <si>
    <t>Guidelines for determining the number of significant process units (N) are reprinted from Silla 2003 below:</t>
  </si>
  <si>
    <t xml:space="preserve">"The complexity of a process, as determined by the number of process units, N, also affects the operating labor required. The greater the number of process units the more complex the process is and the greater the operating labor... Bridgewater defines a significant process unit as 'a unit that achieves a chemical or physical transformation of major process streams or any substantial and necessary side streams.' Examples of process units are fractionation and filtration. Use the following guidelines for determining the number of process units: </t>
  </si>
  <si>
    <t>1. Ignore the size of a process unit and multiple process units of the same type in series, such as the number of evaporators for multi-effect evaporation or the number of Continuously Stirred Tank Reactors (CSTRs).</t>
  </si>
  <si>
    <t>2. Ignore pumps and heat exchangers unless substantial loads or unusual circumstances are involved, such as in a waste-heat boiler or quench tower.</t>
  </si>
  <si>
    <t>3. Ignore storage unless it involves mechanical handling.</t>
  </si>
  <si>
    <t>4. Ignore phase separators, such as gravity settlers. These are not significant process units, but a phase separator containing moving parts, such as a centrifuge, is considered a process unit.</t>
  </si>
  <si>
    <t>5. Count mechanical operations, such as crushing, as a process unit.</t>
  </si>
  <si>
    <t>6. Count utilities if they are specific to the process considered."</t>
  </si>
  <si>
    <t>Direct Labor Estimation Calculator</t>
  </si>
  <si>
    <t>Data Inputs</t>
  </si>
  <si>
    <t>Based on the rules of thumb and guidelines presented above, and considering the New Technology and Commercial Benchmark Technology, enter values for each parameter in the blue data input cells below. The data in the purple cells are set to default values, but may be edited if necessary.</t>
  </si>
  <si>
    <t>Parameter</t>
  </si>
  <si>
    <t>Symbol</t>
  </si>
  <si>
    <t>Value for
New Technology</t>
  </si>
  <si>
    <t>Value for
Commercial Benchmark</t>
  </si>
  <si>
    <t>Default Values &amp; Notes</t>
  </si>
  <si>
    <t>Process-productivity factor</t>
  </si>
  <si>
    <t>K</t>
  </si>
  <si>
    <t>unitless</t>
  </si>
  <si>
    <t>Range: 0.174 to 0.536, depending on process. See table for K and b provided above.</t>
  </si>
  <si>
    <t>Number of significant process units</t>
  </si>
  <si>
    <t>process units</t>
  </si>
  <si>
    <t xml:space="preserve">See guidelines for N provided above. </t>
  </si>
  <si>
    <t>Yearly percent increase in productivity</t>
  </si>
  <si>
    <t>p</t>
  </si>
  <si>
    <t>Default value: 2%, based on empirical data.</t>
  </si>
  <si>
    <t>Number of years since 1952</t>
  </si>
  <si>
    <t>n</t>
  </si>
  <si>
    <t>years</t>
  </si>
  <si>
    <t>Default value: 69 years since 1952 (2021-1952); adjust as needed.</t>
  </si>
  <si>
    <t>Annual facility production</t>
  </si>
  <si>
    <t>lb/yr</t>
  </si>
  <si>
    <t>This value should match annual production rates given in the CapEx tab, but units must be in lb/yr.</t>
  </si>
  <si>
    <t>Hours of operation per year</t>
  </si>
  <si>
    <t>hr/yr</t>
  </si>
  <si>
    <t>This is the facility uptime. Maximum possible value (corresponding to 100% continuous annual operation) is 24*7*52 = 8,736 hours. Typical values are 8,000 hours or less.</t>
  </si>
  <si>
    <t>Capacity exponent</t>
  </si>
  <si>
    <t>b</t>
  </si>
  <si>
    <t>Range: 0.76 to 0.84, depending on process. See table for K and b provided above.</t>
  </si>
  <si>
    <t>Annual salary for average direct labor employee</t>
  </si>
  <si>
    <t>$/yr</t>
  </si>
  <si>
    <t>This is the average annual salary for direct labor employees (operators and operator supervisors), in U.S. dollars per year. Do not include fringe benefits &amp; general overhead.</t>
  </si>
  <si>
    <t>Supervision labor cost (percent of operating labor)</t>
  </si>
  <si>
    <t>Default value: 20%, based on rules of thumb.</t>
  </si>
  <si>
    <t>General overhead &amp; fringe benefits (percent of labor)</t>
  </si>
  <si>
    <t>Default value: 72%, based on rules of thumb.</t>
  </si>
  <si>
    <t>Based on these data entries:</t>
  </si>
  <si>
    <t>The hourly facility production rate is</t>
  </si>
  <si>
    <t>lb / hour</t>
  </si>
  <si>
    <t>equivalent to a value for m (in kg/hr) of</t>
  </si>
  <si>
    <t>kg / hour</t>
  </si>
  <si>
    <t>The estimated operating labor L for this process is:</t>
  </si>
  <si>
    <t>labor hours per kg produced (operating labor only)</t>
  </si>
  <si>
    <t>equivalent to:</t>
  </si>
  <si>
    <t>labor hours per lb produced (operating labor only)</t>
  </si>
  <si>
    <t>corresponding to an annual total of:</t>
  </si>
  <si>
    <t>labor hours per year (operating labor only)</t>
  </si>
  <si>
    <t>or, equivalently (based on 2080 hours/FTE year):</t>
  </si>
  <si>
    <t>full-time-equivalent (FTE) operator employees required per year</t>
  </si>
  <si>
    <t>Including the cost of supervision, the total direct labor hours are:</t>
  </si>
  <si>
    <t>labor hours per lb produced (operating labor + supervision)</t>
  </si>
  <si>
    <t>labor hours per year (operating labor + supervision)</t>
  </si>
  <si>
    <t>full-time-equivalent (FTE) employees required per year</t>
  </si>
  <si>
    <t>This corresponds to an annual direct labor cost, not including fringe benefits and overhead, of:</t>
  </si>
  <si>
    <t>per year</t>
  </si>
  <si>
    <t xml:space="preserve">Corresponding costs for general overhead &amp; employee fringe benefits are: </t>
  </si>
  <si>
    <t>Grand total for annual labor cost:</t>
  </si>
  <si>
    <t>Results</t>
  </si>
  <si>
    <r>
      <t xml:space="preserve">Estimated labor requirements are summarized in the cells below for the New Technology and Commercial Benchmark. Once you have verified that </t>
    </r>
    <r>
      <rPr>
        <u/>
        <sz val="10"/>
        <rFont val="Franklin Gothic Medium"/>
        <family val="2"/>
      </rPr>
      <t>all data inputs are correct</t>
    </r>
    <r>
      <rPr>
        <sz val="10"/>
        <rFont val="Franklin Gothic Medium"/>
        <family val="2"/>
      </rPr>
      <t>, copy and paste (as values) the data in the green cells into the Labor section of the OpEx tab. Alternatively, you may use cell references to link data in the OpEx tab to the estimates of this tab.</t>
    </r>
  </si>
  <si>
    <t>New Technology - Labor Cost Estimate</t>
  </si>
  <si>
    <t># FTE Employees Required Annually</t>
  </si>
  <si>
    <t>Estimated Annual Labor Cost</t>
  </si>
  <si>
    <t>Direct Labor (equipment operators &amp; supervisors)*</t>
  </si>
  <si>
    <t>↑</t>
  </si>
  <si>
    <r>
      <t xml:space="preserve">Copy/paste (as values) results from the green cells into the OpEx tab for the </t>
    </r>
    <r>
      <rPr>
        <b/>
        <u/>
        <sz val="10"/>
        <color rgb="FF00B050"/>
        <rFont val="Franklin Gothic Medium"/>
        <family val="2"/>
      </rPr>
      <t>new technology.</t>
    </r>
  </si>
  <si>
    <t>Commercial Benchmark - Labor Cost Estimate</t>
  </si>
  <si>
    <t>References</t>
  </si>
  <si>
    <t>Silla 2003: H. Silla, Chemical Process Engineering: Design and Economics, Chapter 2. Marcel Dekker, 2003.</t>
  </si>
  <si>
    <t>Cevidalli and Zaidman 1980: G. Cevidalli and B. Zaidman, "Evaluate Research Projects Rapidly," Chemical Engineering 87 (1980) 145-152.</t>
  </si>
  <si>
    <t>Bridgewater 1976: A. V. Bridgewater, "The Functional Approach to Rapid Cost Estimation," AACE Bulletin 18 (1976) 153.</t>
  </si>
  <si>
    <t>User Calculations &amp; Notes</t>
  </si>
  <si>
    <t>Use this section for any project-specific calculations and detailed notes supporting the data above. Add as many rows as needed.</t>
  </si>
  <si>
    <t>Return to OpEx tab</t>
  </si>
  <si>
    <t>Reference Data: Global Warming Potential and Combustion Emissions</t>
  </si>
  <si>
    <t>IPCC 100-Year Global Warming Potentials (AR5, 2013)</t>
  </si>
  <si>
    <t>100-year Global Warming Potential (GWP) values from the IPCC's 5th Assessment Report (AR5) are excerpted below for the most common emissions. For a complete list of values for all emission types (including hydrofluorocarbons (HFCs), perfluorocarbons (PFCs), etc.), please see Appendix 8.A in:</t>
  </si>
  <si>
    <t>Reference: G. Myhre, D. Shindell, et al., "Anthropogenic and Natural Radiative Forcing," Chapter 8 in: Climate Change 2013: The Physical Science Basis. Contributions of Working Group I to the Fifth Assessment Report of the Intergovernmental Panel on Climate Change. Cambridge University Press, 2013.</t>
  </si>
  <si>
    <t>(Link)</t>
  </si>
  <si>
    <t>Chemical Name or Acronym</t>
  </si>
  <si>
    <t>Chemical Formula</t>
  </si>
  <si>
    <t>100-Year GWP
(lb CO2-eq / lb)</t>
  </si>
  <si>
    <t>Data Source</t>
  </si>
  <si>
    <t>Carbon dioxide</t>
  </si>
  <si>
    <r>
      <t>CO</t>
    </r>
    <r>
      <rPr>
        <vertAlign val="subscript"/>
        <sz val="10"/>
        <color theme="1"/>
        <rFont val="Franklin Gothic Medium"/>
        <family val="2"/>
      </rPr>
      <t>2</t>
    </r>
  </si>
  <si>
    <t>2022 IPCC's 6th Assessment Report (AR6); Annex II; Table 9</t>
  </si>
  <si>
    <t>Methane</t>
  </si>
  <si>
    <r>
      <t>CH</t>
    </r>
    <r>
      <rPr>
        <vertAlign val="subscript"/>
        <sz val="10"/>
        <color theme="1"/>
        <rFont val="Franklin Gothic Medium"/>
        <family val="2"/>
      </rPr>
      <t>4</t>
    </r>
  </si>
  <si>
    <t>Nitrous oxide</t>
  </si>
  <si>
    <r>
      <t>N</t>
    </r>
    <r>
      <rPr>
        <vertAlign val="subscript"/>
        <sz val="10"/>
        <color theme="1"/>
        <rFont val="Franklin Gothic Medium"/>
        <family val="2"/>
      </rPr>
      <t>2</t>
    </r>
    <r>
      <rPr>
        <sz val="10"/>
        <color theme="1"/>
        <rFont val="Franklin Gothic Medium"/>
        <family val="2"/>
      </rPr>
      <t>O</t>
    </r>
  </si>
  <si>
    <t>Nitrogen trifluoride</t>
  </si>
  <si>
    <r>
      <t>NF</t>
    </r>
    <r>
      <rPr>
        <vertAlign val="subscript"/>
        <sz val="10"/>
        <color theme="1"/>
        <rFont val="Franklin Gothic Medium"/>
        <family val="2"/>
      </rPr>
      <t>3</t>
    </r>
  </si>
  <si>
    <t>Sulphur hexafluoride</t>
  </si>
  <si>
    <r>
      <t>SF</t>
    </r>
    <r>
      <rPr>
        <vertAlign val="subscript"/>
        <sz val="10"/>
        <color theme="1"/>
        <rFont val="Franklin Gothic Medium"/>
        <family val="2"/>
      </rPr>
      <t>6</t>
    </r>
  </si>
  <si>
    <t>IPCC Stationary Combustion Emissions (2006)</t>
  </si>
  <si>
    <t>Stationary combustion emission factors from the 2006 IPCC Guidelines for National Greenhouse Gas Inventories are excerpted below for select fuels (except steam, which is excerpted from the 2014 EPA Emissions Factors for Greenhouse Gas Inventories. For a complete list of values for all fuels (including sub-categories), please see:</t>
  </si>
  <si>
    <t>Reference (all data except steam): D. R. Gomez, J. D. Watterson, et al., "Stationary Combustion," Volume 2, Chapter 2 in: 2006 IPCC Guidelines for National Greenhouse Gas Inventories. Published on behalf of IPCC by the Institute for Global Environmental Strategies, Japan, 2006. Tables 2.2, 2.3, 2.4, and 2.5.</t>
  </si>
  <si>
    <t>Reference (steam data only**): EPA Emissions Factors for Greenhouse Gas Inventories,  last updated 4 April 2014.</t>
  </si>
  <si>
    <t>Sector</t>
  </si>
  <si>
    <t>Category</t>
  </si>
  <si>
    <t>CO2 Emissions Factor 
(kg of GHG per TJ)</t>
  </si>
  <si>
    <t>CH4 Emissions Factor
(kg of GHG per TJ)</t>
  </si>
  <si>
    <t>N2O Emissions Factor
(kg of GHG per TJ)</t>
  </si>
  <si>
    <t>Calculated 
100-Year GWP Emissions
(kg CO2-eq per TJ)</t>
  </si>
  <si>
    <t>Calculated 
100-Year GWP Emissions
(lbs CO2-eq per MMBtu)*</t>
  </si>
  <si>
    <t>Data Source 1</t>
  </si>
  <si>
    <t>Data Source 2</t>
  </si>
  <si>
    <t>Industrial</t>
  </si>
  <si>
    <t>Bitumen (asphalt)</t>
  </si>
  <si>
    <t>2006 IPCC Volume 2, Chapter 2, Table 2.2</t>
  </si>
  <si>
    <t>2019 IPCC Refinement - no updates</t>
  </si>
  <si>
    <t>Gas / Diesel Oil (distillate fuel oil)</t>
  </si>
  <si>
    <t>Kerosene</t>
  </si>
  <si>
    <t>Residual Fuel Oil</t>
  </si>
  <si>
    <t>Other Petroleum</t>
  </si>
  <si>
    <t>Coke Oven Coke and Lignite Coke</t>
  </si>
  <si>
    <t>Bituminous Coal</t>
  </si>
  <si>
    <t>Lignite</t>
  </si>
  <si>
    <t>Municipal Waste (biomass)</t>
  </si>
  <si>
    <t>Industrial Wastes</t>
  </si>
  <si>
    <t>Wood / Wood Waste</t>
  </si>
  <si>
    <t>Biogasoline &amp; Biodiesel</t>
  </si>
  <si>
    <t>*Conversion: 1 kg CO2-eq / TJ = 0.002326 lb CO2-eq / MMBtu</t>
  </si>
  <si>
    <t>IPCC Mobile Combustion Emissions (2006)</t>
  </si>
  <si>
    <t>Mobile  combustion emission factors from the 2006 IPCC Guidelines for National Greenhouse Gas Inventories are excerpted below for select fuels. For a complete list of values for all fuels (including sub-categories), please see Tables 3.2.1, 3.2.2, 3.3.1, 3.4.1, 3.5.3, 3.6.4, and 3.6.5 in:</t>
  </si>
  <si>
    <t>Reference: C. D. Waldron, et al., "Mobile Combustion," Volume 2, Chapter 3 in: 2006 IPCC Guidelines for National Greenhouse Gas Inventories. Published on behalf of IPCC by the Institute for Global Environmental Strategies, Japan, 2006.</t>
  </si>
  <si>
    <t>Mode of Transport</t>
  </si>
  <si>
    <t>Fuel</t>
  </si>
  <si>
    <t>Calculated 
100-Year GWP Emissions
(lbs CO2-eq per MMBtu)**</t>
  </si>
  <si>
    <t>Road Transport</t>
  </si>
  <si>
    <t>2006 IPCC Volume 2, Chapter 3, Tables 3.2.1-2</t>
  </si>
  <si>
    <t>Liquified Petroleum Gas (propane, etc.)</t>
  </si>
  <si>
    <t>Natural Gas (includes CNG and LNG)</t>
  </si>
  <si>
    <t>Aircraft</t>
  </si>
  <si>
    <t>Aviation Gasoline</t>
  </si>
  <si>
    <t>Jet Kerosene</t>
  </si>
  <si>
    <t>*Off-road transport includes agricultural, forestry, industry, and household mobile sources and machinery. Emissions factors shown above are based on generally representative vehicles for each fuel type: an agricultural diesel-powered source and an agricultural motor gasoline 4-stroke engine source, respectively.</t>
  </si>
  <si>
    <t>**Conversion: 1 kg CO2-eq / TJ = 0.002326 lb CO2-eq / MMBtu</t>
  </si>
  <si>
    <t>Emissions Associated with Electricity Generation (IPCC AR5, 2014 and EIA MER 2021)</t>
  </si>
  <si>
    <t>Electricity generation associated emissions include both direct emissions (from combustion of fuels) and infrastructure and supply chain emissions (resulting in small, but non-zero emissions even for renewable technologies). Median values for common fuels are excerpted below from the IPCC's 5th Assessment Report (AR5). For more details, see Table A.III.2 in:</t>
  </si>
  <si>
    <t>Reference: S. Schlomer, et al., Annex III: Technology-specific cost and performance parameters, in: Climate Change 2014: Mitigation of Climate Change. Contribution of Working Group III to the Fifth Assessment Report of the Intergovernmental Panel on Climate Change. Cambridge University Press, 2014.</t>
  </si>
  <si>
    <t>This chart doesn't end up getting used?</t>
  </si>
  <si>
    <t>Median life cycle emissions (g CO2-eq per kWh)</t>
  </si>
  <si>
    <t>Conversion: Median life cycle emissions (lb CO2-eq per kWh)</t>
  </si>
  <si>
    <t>Coal - Pulverized Coal (PC)</t>
  </si>
  <si>
    <t>IPCC's 5th Assignment (AR5); Annex III; Table A.III.2</t>
  </si>
  <si>
    <t>Gas - Combined Cycle (CC)</t>
  </si>
  <si>
    <t>Biomass - Dedicated</t>
  </si>
  <si>
    <t>Solar PV - Utility</t>
  </si>
  <si>
    <t>Wind - Onshore</t>
  </si>
  <si>
    <t>Based on the  U.S. grid mix, we can estimate emissions associated with electricity generation using the IPCC data above. U.S. electricity net generation totals, broken down by energy source, are shown below, drawing from the U.S. EIA Monthly Energy Review Table 7.2a. (2021) The median life cycle emissions for each electricity generation technology (based on IPCC data) is shown in the third column.</t>
  </si>
  <si>
    <t>Reference: EIA Monthly Energy Review, Table 7.2a Electricity Net Generation: Total (All Sectors) (Last updated 01-23 with 2021 data)</t>
  </si>
  <si>
    <t>2020 Generation (million kWh)</t>
  </si>
  <si>
    <t>Electricity generation emissions (lb CO2-eq/MMBtu electricity generated) based on IPCC data</t>
  </si>
  <si>
    <t>EIA Monthly Energy Review; Table 7.2A</t>
  </si>
  <si>
    <t xml:space="preserve">Average lb CO2 eq from 1 MMBtu of Grid Mix Electricity </t>
  </si>
  <si>
    <t>lb CO2/MMBtu</t>
  </si>
  <si>
    <t>Total CO2 Emissions Factor given as (g/kWh)</t>
  </si>
  <si>
    <t>Description of Data Points (Default Emissions Factor)</t>
  </si>
  <si>
    <t>Coking Coal</t>
  </si>
  <si>
    <t>Coke Oven Gas</t>
  </si>
  <si>
    <t>Wind onshore</t>
  </si>
  <si>
    <t>Reference Data: EIA Energy Consumption &amp; Pricing Data</t>
  </si>
  <si>
    <t>EIA U.S. Energy Consumption by Energy Source and Sector</t>
  </si>
  <si>
    <t>U.S. energy consumption, fuel heat content, and energy price data are excerpted below from multiple Energy Information Agency (EIA) sources. 2020 data was used wherever possible. Specific sources used are noted in the right-most column of the table. The full references are listed and linked below.</t>
  </si>
  <si>
    <t>Monthly Energy Review (MER) Table 2.2:: Residential Sector Energy Consumption (2020 data)</t>
  </si>
  <si>
    <t>Monthly Energy Review (MER) Table 2.4: Industrial Sector Energy Consumption (2020 data)</t>
  </si>
  <si>
    <t>Monthly Energy Review (MER) Table 2.5: Transportation Sector Energy Consumption (2020 data)</t>
  </si>
  <si>
    <t>Monthly Energy Review (MER) Table 2.6: Electric Power Sector Energy Consumption (2020 data)</t>
  </si>
  <si>
    <t>Monthly Energy Review (MER) Table 3.7b: Petroleum Consumption: Industrial Sector (2020 data)</t>
  </si>
  <si>
    <t>Monthly Energy Review (MER) Table 3.7c: Petroleum Consumption: Transportation and Electric Power Sectors (2020 data)</t>
  </si>
  <si>
    <t>Monthly Energy Review (MER) Table 4.3: Natural Gas Consumption by Sector (2020 data)</t>
  </si>
  <si>
    <t>Monthly Energy Review (MER) Table 6.2: Coal Consumption by Sector (2020 data)</t>
  </si>
  <si>
    <t>EIA, Coal Explained. U.S. Coal Production by type: Anthracite - &lt;1%; Bituminous - 48%; Subbituminous - 44%; Lignite - 8%. (2019 data)</t>
  </si>
  <si>
    <t>Monthly Energy Review (MER) Table 7.6: Electricity End Use (2020 data)</t>
  </si>
  <si>
    <t>Monthly Energy Review (MER) Table 9.4 Retail Motor Gasoline and On-Highway Diesel Fuel Prices (2020 data)</t>
  </si>
  <si>
    <t>Monthly Energy Review (MER) Table 9.5 Refiner Prices of Residual Fuel Oil</t>
  </si>
  <si>
    <t>Monthly Energy Review (MER) Table 9.7: Refiner Prices of Petroleum Products to End Users</t>
  </si>
  <si>
    <t>Monthly Energy Review (MER) Table 9.8: Average Retail Prices of Electricity (2020 data)</t>
  </si>
  <si>
    <t>Monthly Energy Review (MER) Table 9.9: Cost of Fossil-Fuel Receipts at Electric Generating Plants (2020 data)</t>
  </si>
  <si>
    <t>Monthly Energy Review (MER) Table 9.10: Natural Gas Prices (2020 data)</t>
  </si>
  <si>
    <t>Monthly Energy Review (MER) Table 10.2A: Renewable Energy Consumption: Residential and Commercial Sectors (2020 data)</t>
  </si>
  <si>
    <t>Monthly Energy Review (MER) Table 10.2B: Renewable Energy Consumption: Industrial and Transportation Sectors (2020 data)</t>
  </si>
  <si>
    <t>Monthly Energy Review (MER) Table 10.2C: Renewable Energy Consumption:Electric Power Sector (2020 data)</t>
  </si>
  <si>
    <t>Monthly Energy Review (MER) Table A1: Approximate Heat Content of Petroleum and Other Liquids</t>
  </si>
  <si>
    <t>Monthly Energy Review (MER) Table A3: Approximate Heat Content of Petroleum Consumption and Fuel Ethanol)</t>
  </si>
  <si>
    <t>Monthly Energy Review (MER) Table A4: Approximate Heat Content of Natural Gas (2020 data)</t>
  </si>
  <si>
    <t>Monthly Energy Review (MER) Table A5: Approximate Heat Content of Coal and Coal Coke (2020 data)</t>
  </si>
  <si>
    <t>Monthly Energy Review (MER) Table A6: Approximate Heat Rates for Electricity, and Heat Content of Electricity (2020 data)</t>
  </si>
  <si>
    <t>Manufacturing Energy Consumption Survey (MECS) Table 7.1: Average Prices of Purchased Energy Sources, 2018 (latest available as of Jan 2023)</t>
  </si>
  <si>
    <t>Manufacturing Energy Consumption Survey (MECS) Table 7.7: Quantity of Purchased Electricity, Natural Gas, and Steam, 2014 (latest available as of May 2021)</t>
  </si>
  <si>
    <t>IRENA Renewable Power Generation (2021 data)</t>
  </si>
  <si>
    <t>units</t>
  </si>
  <si>
    <t>Fuel Specific Units</t>
  </si>
  <si>
    <t>Fuel Heat Content (MMBtu/fuel specific unit)</t>
  </si>
  <si>
    <t>Average Energy Price, if Avail. ($/fuel specific unit)</t>
  </si>
  <si>
    <t>EIA Sources</t>
  </si>
  <si>
    <t>million kWh</t>
  </si>
  <si>
    <t>kWh</t>
  </si>
  <si>
    <t>MER Table A6, MER Table 9.8</t>
  </si>
  <si>
    <r>
      <t xml:space="preserve">MER Table A6 (Heat Content of Electricity) It's been 3412 for the last 70 years. </t>
    </r>
    <r>
      <rPr>
        <i/>
        <sz val="10"/>
        <rFont val="Franklin Gothic Medium"/>
        <family val="2"/>
      </rPr>
      <t>No Update</t>
    </r>
  </si>
  <si>
    <r>
      <t xml:space="preserve">MER Table 9.8, (Cost of Electricity);
</t>
    </r>
    <r>
      <rPr>
        <i/>
        <sz val="10"/>
        <rFont val="Franklin Gothic Medium"/>
        <family val="2"/>
      </rPr>
      <t>Updated with 2021 data as of 01/2023</t>
    </r>
  </si>
  <si>
    <t>Asphalt (bitumen) and road oil</t>
  </si>
  <si>
    <t>thousand barrels per day</t>
  </si>
  <si>
    <t>MER Table A1, MECS Table 7.1</t>
  </si>
  <si>
    <r>
      <t xml:space="preserve">MER Table A1 (Heat Content) Changes &gt; 1%, </t>
    </r>
    <r>
      <rPr>
        <i/>
        <sz val="10"/>
        <rFont val="Franklin Gothic Medium"/>
        <family val="2"/>
      </rPr>
      <t>Updated with 2022 data as of 01/2023</t>
    </r>
  </si>
  <si>
    <r>
      <t xml:space="preserve">MECS Table 7.1 (Fuel Costs </t>
    </r>
    <r>
      <rPr>
        <i/>
        <sz val="10"/>
        <rFont val="Franklin Gothic Medium"/>
        <family val="2"/>
      </rPr>
      <t>Updated with 2018 data), as of 01/2023</t>
    </r>
  </si>
  <si>
    <t>MER Table A3, MECS Table 7.1</t>
  </si>
  <si>
    <r>
      <t xml:space="preserve">MECS Table 7.1 (Fuel Costs); Can be found under </t>
    </r>
    <r>
      <rPr>
        <b/>
        <i/>
        <sz val="10"/>
        <rFont val="Franklin Gothic Medium"/>
        <family val="2"/>
      </rPr>
      <t>HGL</t>
    </r>
    <r>
      <rPr>
        <sz val="10"/>
        <rFont val="Franklin Gothic Medium"/>
        <family val="2"/>
      </rPr>
      <t xml:space="preserve">. </t>
    </r>
    <r>
      <rPr>
        <i/>
        <sz val="10"/>
        <rFont val="Franklin Gothic Medium"/>
        <family val="2"/>
      </rPr>
      <t>Updated with 2018 data, as of 01/2023</t>
    </r>
  </si>
  <si>
    <r>
      <t xml:space="preserve">MECS Table 7.1 (Fuel Costs) </t>
    </r>
    <r>
      <rPr>
        <i/>
        <sz val="10"/>
        <rFont val="Franklin Gothic Medium"/>
        <family val="2"/>
      </rPr>
      <t>Updated with 2018 data, as of 01/2023</t>
    </r>
  </si>
  <si>
    <t>MER Table A1</t>
  </si>
  <si>
    <r>
      <t xml:space="preserve">MECS Table 7.1 (Fuel Costs) </t>
    </r>
    <r>
      <rPr>
        <i/>
        <sz val="10"/>
        <rFont val="Franklin Gothic Medium"/>
        <family val="2"/>
      </rPr>
      <t>Not found in Dataset</t>
    </r>
  </si>
  <si>
    <t>thousand short tons</t>
  </si>
  <si>
    <t>short tons</t>
  </si>
  <si>
    <t>MER Table A5, MECS Table 7.1</t>
  </si>
  <si>
    <r>
      <t xml:space="preserve">MER Table A5 (Heat Content) Changes &gt; 1%, Can be found under </t>
    </r>
    <r>
      <rPr>
        <b/>
        <i/>
        <sz val="10"/>
        <rFont val="Franklin Gothic Medium"/>
        <family val="2"/>
      </rPr>
      <t>Coke Plants</t>
    </r>
    <r>
      <rPr>
        <sz val="10"/>
        <rFont val="Franklin Gothic Medium"/>
        <family val="2"/>
      </rPr>
      <t xml:space="preserve"> </t>
    </r>
    <r>
      <rPr>
        <i/>
        <sz val="10"/>
        <rFont val="Franklin Gothic Medium"/>
        <family val="2"/>
      </rPr>
      <t>Updated with 2022 data as of 01/2023</t>
    </r>
  </si>
  <si>
    <t>Bituminous and Subbituminous Coal</t>
  </si>
  <si>
    <t>MER Table A5, MECS Table 7.1, Coal Explained</t>
  </si>
  <si>
    <r>
      <t xml:space="preserve">MER Table A5 (Heat Content) Changes &gt; 1%, Can be found under </t>
    </r>
    <r>
      <rPr>
        <b/>
        <i/>
        <sz val="10"/>
        <rFont val="Franklin Gothic Medium"/>
        <family val="2"/>
      </rPr>
      <t>Other</t>
    </r>
    <r>
      <rPr>
        <sz val="10"/>
        <rFont val="Franklin Gothic Medium"/>
        <family val="2"/>
      </rPr>
      <t xml:space="preserve"> </t>
    </r>
    <r>
      <rPr>
        <i/>
        <sz val="10"/>
        <rFont val="Franklin Gothic Medium"/>
        <family val="2"/>
      </rPr>
      <t>Updated with 2022 data as of 01/2023</t>
    </r>
  </si>
  <si>
    <t>billion cf</t>
  </si>
  <si>
    <t>thousand cf</t>
  </si>
  <si>
    <t>MER Table A4, MER Table 9.10</t>
  </si>
  <si>
    <r>
      <t xml:space="preserve">MER Table A4 (Heat Content) Can be found under </t>
    </r>
    <r>
      <rPr>
        <b/>
        <i/>
        <sz val="10"/>
        <rFont val="Franklin Gothic Medium"/>
        <family val="2"/>
      </rPr>
      <t>End-Use Sectors</t>
    </r>
    <r>
      <rPr>
        <sz val="10"/>
        <rFont val="Franklin Gothic Medium"/>
        <family val="2"/>
      </rPr>
      <t xml:space="preserve"> </t>
    </r>
    <r>
      <rPr>
        <i/>
        <sz val="10"/>
        <rFont val="Franklin Gothic Medium"/>
        <family val="2"/>
      </rPr>
      <t>Updated with 2022 data as of 01/2023</t>
    </r>
  </si>
  <si>
    <r>
      <t xml:space="preserve">MER Table 9.10 (NG Price) </t>
    </r>
    <r>
      <rPr>
        <i/>
        <sz val="10"/>
        <rFont val="Franklin Gothic Medium"/>
        <family val="2"/>
      </rPr>
      <t>Updated with 2021 data as of 01/2023</t>
    </r>
  </si>
  <si>
    <t>TBtu</t>
  </si>
  <si>
    <t>MECS Table 7.1</t>
  </si>
  <si>
    <r>
      <t xml:space="preserve">MECS 7.1 (Cost) Can be found under </t>
    </r>
    <r>
      <rPr>
        <b/>
        <i/>
        <sz val="10"/>
        <rFont val="Franklin Gothic Medium"/>
        <family val="2"/>
      </rPr>
      <t>Wood Residues and Byproducts from Mill</t>
    </r>
    <r>
      <rPr>
        <sz val="10"/>
        <rFont val="Franklin Gothic Medium"/>
        <family val="2"/>
      </rPr>
      <t xml:space="preserve"> </t>
    </r>
    <r>
      <rPr>
        <i/>
        <sz val="10"/>
        <rFont val="Franklin Gothic Medium"/>
        <family val="2"/>
      </rPr>
      <t>Updated with 2018 data as of 01/2023</t>
    </r>
  </si>
  <si>
    <t>Waste Biomass</t>
  </si>
  <si>
    <r>
      <t xml:space="preserve">MECS 7.1 (Cost) Can be found under </t>
    </r>
    <r>
      <rPr>
        <b/>
        <i/>
        <sz val="10"/>
        <rFont val="Franklin Gothic Medium"/>
        <family val="2"/>
      </rPr>
      <t>Biomass Total</t>
    </r>
    <r>
      <rPr>
        <sz val="10"/>
        <rFont val="Franklin Gothic Medium"/>
        <family val="2"/>
      </rPr>
      <t xml:space="preserve"> </t>
    </r>
    <r>
      <rPr>
        <i/>
        <sz val="10"/>
        <rFont val="Franklin Gothic Medium"/>
        <family val="2"/>
      </rPr>
      <t>Updated with 2018 data as of 01/2023</t>
    </r>
  </si>
  <si>
    <t>Fuel Ethanol Biomass</t>
  </si>
  <si>
    <t>MECS Table 7.1, IRENA Renewable Power Generation Table 8.1</t>
  </si>
  <si>
    <r>
      <t xml:space="preserve">MECS 7.1 (Cost) </t>
    </r>
    <r>
      <rPr>
        <i/>
        <sz val="10"/>
        <rFont val="Franklin Gothic Medium"/>
        <family val="2"/>
      </rPr>
      <t>Data not found in MECS 7.1</t>
    </r>
  </si>
  <si>
    <r>
      <t xml:space="preserve">IRENA Renewable Power Generation Table 8.1 (Cost) </t>
    </r>
    <r>
      <rPr>
        <i/>
        <sz val="10"/>
        <rFont val="Franklin Gothic Medium"/>
        <family val="2"/>
      </rPr>
      <t>Updated with 2021 data as of 01/2023</t>
    </r>
  </si>
  <si>
    <t>Industrial Losses &amp; Coproducts</t>
  </si>
  <si>
    <t>MER Table 10.2.B, MECS Table 7.1</t>
  </si>
  <si>
    <r>
      <t xml:space="preserve">MECS 7.1 (Cost) No change. Can be found under </t>
    </r>
    <r>
      <rPr>
        <b/>
        <i/>
        <sz val="10"/>
        <rFont val="Franklin Gothic Medium"/>
        <family val="2"/>
      </rPr>
      <t>Industrial Hot Water</t>
    </r>
    <r>
      <rPr>
        <sz val="10"/>
        <rFont val="Franklin Gothic Medium"/>
        <family val="2"/>
      </rPr>
      <t xml:space="preserve"> </t>
    </r>
    <r>
      <rPr>
        <i/>
        <sz val="10"/>
        <rFont val="Franklin Gothic Medium"/>
        <family val="2"/>
      </rPr>
      <t>Updated with 2018 data as of 01/2023</t>
    </r>
  </si>
  <si>
    <t>Hydroelectric</t>
  </si>
  <si>
    <t>MER Table 2.4, IRENA Renewable Power Generation Table 6.1</t>
  </si>
  <si>
    <r>
      <t xml:space="preserve">IRENA Renewable Power Generation Table 6.1 (Cost) </t>
    </r>
    <r>
      <rPr>
        <i/>
        <sz val="10"/>
        <rFont val="Franklin Gothic Medium"/>
        <family val="2"/>
      </rPr>
      <t>Updated with 2021 data as of 01/2023</t>
    </r>
  </si>
  <si>
    <t>MER Table 2.4, IRENA Renewable Power Generation Table 7.1</t>
  </si>
  <si>
    <r>
      <t xml:space="preserve">IRENA Renewable Power Generation Table 7.1 (Cost) </t>
    </r>
    <r>
      <rPr>
        <i/>
        <sz val="10"/>
        <rFont val="Franklin Gothic Medium"/>
        <family val="2"/>
      </rPr>
      <t>Updated with 2021 data as of 01/2023</t>
    </r>
  </si>
  <si>
    <t>MER Table 2.4, IRENA Renewable Power Generation Table 3.1</t>
  </si>
  <si>
    <r>
      <t xml:space="preserve">IRENA Renewable Power Generation Table 3.1 (Cost) </t>
    </r>
    <r>
      <rPr>
        <i/>
        <sz val="10"/>
        <rFont val="Franklin Gothic Medium"/>
        <family val="2"/>
      </rPr>
      <t>Updated with 2021 data as of 01/2023</t>
    </r>
  </si>
  <si>
    <t>MER Table, 2.4 IRENA Renewable Power Generation Table 2.1</t>
  </si>
  <si>
    <r>
      <t xml:space="preserve">IRENA Renewable Power Generation Table 2.1 (Cost) </t>
    </r>
    <r>
      <rPr>
        <i/>
        <sz val="10"/>
        <rFont val="Franklin Gothic Medium"/>
        <family val="2"/>
      </rPr>
      <t>Updated with 2021 data as of 01/2023</t>
    </r>
  </si>
  <si>
    <t>BBtu</t>
  </si>
  <si>
    <t>MECS Table 7.1, MECS Table 7.7</t>
  </si>
  <si>
    <r>
      <t xml:space="preserve">MECS 7.1 (Cost) Found under </t>
    </r>
    <r>
      <rPr>
        <b/>
        <i/>
        <sz val="10"/>
        <rFont val="Franklin Gothic Medium"/>
        <family val="2"/>
      </rPr>
      <t>Steam Total</t>
    </r>
    <r>
      <rPr>
        <sz val="10"/>
        <rFont val="Franklin Gothic Medium"/>
        <family val="2"/>
      </rPr>
      <t xml:space="preserve"> </t>
    </r>
    <r>
      <rPr>
        <i/>
        <sz val="10"/>
        <rFont val="Franklin Gothic Medium"/>
        <family val="2"/>
      </rPr>
      <t>Updated with 2018 data as of 01/2023</t>
    </r>
  </si>
  <si>
    <r>
      <t xml:space="preserve">MECS Table 7.7 (Total Use) </t>
    </r>
    <r>
      <rPr>
        <i/>
        <sz val="10"/>
        <rFont val="Franklin Gothic Medium"/>
        <family val="2"/>
      </rPr>
      <t>Not Used</t>
    </r>
  </si>
  <si>
    <r>
      <t xml:space="preserve">MER Table A6 (Heat Content) </t>
    </r>
    <r>
      <rPr>
        <i/>
        <sz val="10"/>
        <rFont val="Franklin Gothic Medium"/>
        <family val="2"/>
      </rPr>
      <t>No updates needed</t>
    </r>
  </si>
  <si>
    <r>
      <t xml:space="preserve">MER Table 9.8 (Cost) </t>
    </r>
    <r>
      <rPr>
        <i/>
        <sz val="10"/>
        <rFont val="Franklin Gothic Medium"/>
        <family val="2"/>
      </rPr>
      <t>Updated with 2021 data on 12/2023</t>
    </r>
  </si>
  <si>
    <t>Aviation gasoline</t>
  </si>
  <si>
    <t>MER Table 3.7c, MER Table A1, MER Table 9.7</t>
  </si>
  <si>
    <r>
      <t xml:space="preserve">MER Table A1 (Specific Heat) </t>
    </r>
    <r>
      <rPr>
        <i/>
        <sz val="10"/>
        <rFont val="Franklin Gothic Medium"/>
        <family val="2"/>
      </rPr>
      <t>Updated with 2022 data on 12/2023</t>
    </r>
  </si>
  <si>
    <r>
      <t xml:space="preserve">MER Table 9.7 (Price) </t>
    </r>
    <r>
      <rPr>
        <i/>
        <sz val="10"/>
        <rFont val="Franklin Gothic Medium"/>
        <family val="2"/>
      </rPr>
      <t>Updated with 2022 data as of 01/2023</t>
    </r>
  </si>
  <si>
    <t>MER Table 3.7c, MER Table A3, MER Table 9.4</t>
  </si>
  <si>
    <r>
      <t xml:space="preserve">MER Table A3 (Specific Heat) </t>
    </r>
    <r>
      <rPr>
        <i/>
        <sz val="10"/>
        <rFont val="Franklin Gothic Medium"/>
        <family val="2"/>
      </rPr>
      <t>Updated with 2022 data on 12/2023</t>
    </r>
  </si>
  <si>
    <t>Liquified Petroleum Gas (propane)</t>
  </si>
  <si>
    <t>Jet fuel</t>
  </si>
  <si>
    <r>
      <t xml:space="preserve">MER Table A1 (Specific Heat) Found under </t>
    </r>
    <r>
      <rPr>
        <b/>
        <sz val="10"/>
        <rFont val="Franklin Gothic Medium"/>
        <family val="2"/>
      </rPr>
      <t>Jet Fuel, Naphtha Type</t>
    </r>
    <r>
      <rPr>
        <sz val="10"/>
        <rFont val="Franklin Gothic Medium"/>
        <family val="2"/>
      </rPr>
      <t xml:space="preserve"> </t>
    </r>
    <r>
      <rPr>
        <i/>
        <sz val="10"/>
        <rFont val="Franklin Gothic Medium"/>
        <family val="2"/>
      </rPr>
      <t>Updated with 2022 data on 12/2023</t>
    </r>
  </si>
  <si>
    <r>
      <t>MER Table 9.7 (Price)</t>
    </r>
    <r>
      <rPr>
        <i/>
        <sz val="10"/>
        <rFont val="Franklin Gothic Medium"/>
        <family val="2"/>
      </rPr>
      <t xml:space="preserve"> Updated with 2022 data as of 01/2023</t>
    </r>
  </si>
  <si>
    <t>Residual fuel oil</t>
  </si>
  <si>
    <t>MER Table 3.7c, MER Table A1, MER Table 9.5</t>
  </si>
  <si>
    <t>Other petroleum</t>
  </si>
  <si>
    <t>MER Table 3.7c, MER Table A1</t>
  </si>
  <si>
    <r>
      <t xml:space="preserve">MER Table A1 (Specific Heat) Found under </t>
    </r>
    <r>
      <rPr>
        <b/>
        <sz val="10"/>
        <rFont val="Franklin Gothic Medium"/>
        <family val="2"/>
      </rPr>
      <t xml:space="preserve">Other Oils Equal to or Greather than 401 F </t>
    </r>
    <r>
      <rPr>
        <i/>
        <sz val="10"/>
        <rFont val="Franklin Gothic Medium"/>
        <family val="2"/>
      </rPr>
      <t>Updated with 2022 data on 12/2023</t>
    </r>
  </si>
  <si>
    <t>MER Table 4.3, MER Table A4, MER Table 9.10</t>
  </si>
  <si>
    <t>MER Table 2.5</t>
  </si>
  <si>
    <t>Source-to-Site Ratios (Generation &amp; Distribution Losses) by Sector</t>
  </si>
  <si>
    <t>Electricity generation &amp; distribution losses and resulting source-to-site ratios are shown below, by sector. EIA References are listed below. Based on current EIA data and using U.S. averages, these ratios are identical across sectors.</t>
  </si>
  <si>
    <t>Monthly Energy Review (MER) Table 2.2: Residential Sector Energy Consumption (2020 data)</t>
  </si>
  <si>
    <t>Monthly Energy Review (MER) Table 2.3: Commercial Sector Energy Consumption (2020 data)</t>
  </si>
  <si>
    <t>2020 Electricity Retail Sales (TBtu)</t>
  </si>
  <si>
    <t>2020 Electrical System Energy Losses (TBtu)</t>
  </si>
  <si>
    <t>2020 Total Primary Energy for Electricity (retail sales + losses) (TBtu)</t>
  </si>
  <si>
    <t>2020 Source-to-Site Ratio (Total Primary / Electricity Retail Sales)</t>
  </si>
  <si>
    <t>Steam generation &amp; distribution losses are shown below, drawn from:</t>
  </si>
  <si>
    <t>Energy Star Portfolio Manager, Technical Reference (October 2020), Figure 8: U.S. Source-to-Site Ratio for Conventional Steam Generation; Figure 9: U.S. Source-to-Site Ratio for Steam Produced by CHP</t>
  </si>
  <si>
    <t>Energy Type</t>
  </si>
  <si>
    <t>U.S. Source-to-Site Ratio</t>
  </si>
  <si>
    <t>Conventional Steam</t>
  </si>
  <si>
    <t>Steam Produced by CHP</t>
  </si>
  <si>
    <t>U.S. Weighted Average*</t>
  </si>
  <si>
    <t>*42% conventional steam and 58% CHP steam</t>
  </si>
  <si>
    <t>Reference Data: Summary Table</t>
  </si>
  <si>
    <t>Summary Data on U.S. Energy Consumption, Energy Prices, and Emissions (including Weighted Averages)</t>
  </si>
  <si>
    <t>In the tables below, summary data are extracted and synthesized from the prior two tabs (GWP Reference Tables and EIA Reference Tables). IPCC energy source data are mapped to EIA energy consumption categories to summarize the U.S. annual consumption, energy prices, and Global Warming Potential for each energy source. U.S. consumption totals are then used to determine sector-wide weighted averages for energy price and GWP.</t>
  </si>
  <si>
    <t>Source-to-Site Ratio (non-unity for Electricity and Steam only)</t>
  </si>
  <si>
    <t>Average Energy Price, if Available ($/MMBtu)</t>
  </si>
  <si>
    <t>Calculated 
100-Year GWP Emissions
(lbs CO2-eq/ MMBtu)*</t>
  </si>
  <si>
    <r>
      <rPr>
        <b/>
        <sz val="11"/>
        <color theme="1"/>
        <rFont val="Calibri"/>
        <family val="2"/>
        <scheme val="minor"/>
      </rPr>
      <t xml:space="preserve">White Cells: </t>
    </r>
    <r>
      <rPr>
        <sz val="11"/>
        <color theme="1"/>
        <rFont val="Calibri"/>
        <family val="2"/>
        <scheme val="minor"/>
      </rPr>
      <t>Formulas - no edits needed</t>
    </r>
    <r>
      <rPr>
        <b/>
        <sz val="11"/>
        <color theme="1"/>
        <rFont val="Calibri"/>
        <family val="2"/>
        <scheme val="minor"/>
      </rPr>
      <t xml:space="preserve"> </t>
    </r>
  </si>
  <si>
    <r>
      <rPr>
        <b/>
        <sz val="11"/>
        <color theme="1"/>
        <rFont val="Calibri"/>
        <family val="2"/>
        <scheme val="minor"/>
      </rPr>
      <t xml:space="preserve">Grey Cells: </t>
    </r>
    <r>
      <rPr>
        <sz val="11"/>
        <color theme="1"/>
        <rFont val="Calibri"/>
        <family val="2"/>
        <scheme val="minor"/>
      </rPr>
      <t>Numeric Inputs that can be updated</t>
    </r>
  </si>
  <si>
    <r>
      <t xml:space="preserve">Red Cells: </t>
    </r>
    <r>
      <rPr>
        <sz val="11"/>
        <color theme="1"/>
        <rFont val="Calibri"/>
        <family val="2"/>
        <scheme val="minor"/>
      </rPr>
      <t>Numbers refereced from user data</t>
    </r>
  </si>
  <si>
    <t>Steam and Hot Water</t>
  </si>
  <si>
    <t>Diesel &amp; Distillate Fuel Oil</t>
  </si>
  <si>
    <t>Grid Mix Presets</t>
  </si>
  <si>
    <t>BaseCase</t>
  </si>
  <si>
    <t>Reference Tab</t>
  </si>
  <si>
    <t>Total (including from sources not shown)</t>
  </si>
  <si>
    <t>2030 (Net Zero by 2050)</t>
  </si>
  <si>
    <t>2050 (Net Zero)</t>
  </si>
  <si>
    <t>DOE Technology Readiness Levels</t>
  </si>
  <si>
    <t>TRL 1: Basic principles observed and reported.</t>
  </si>
  <si>
    <t>TRL 2: Technology concept and/or application formulated.</t>
  </si>
  <si>
    <t>TRL 3: Experimental critical function (and/or characteristic) proof of concept</t>
  </si>
  <si>
    <t>TRL 4: Component and/or system validation in laboratory environment</t>
  </si>
  <si>
    <t>TRL 5: Technology validation in relevant environment</t>
  </si>
  <si>
    <t>TRL 6: Pilot-scale validation in relevant environment</t>
  </si>
  <si>
    <t>TRL 7: Full-scale demonstration in relevant environment</t>
  </si>
  <si>
    <t>TRL 8: Actual system qualified and demonstrated</t>
  </si>
  <si>
    <t>TRL 9: Actual system qualified and demonstrated</t>
  </si>
  <si>
    <t>Funding Mechanism Dropdown Options</t>
  </si>
  <si>
    <t>Select from Dropdown …</t>
  </si>
  <si>
    <t>Consortium</t>
  </si>
  <si>
    <t>FOA (Funding Opportunity Announcement)</t>
  </si>
  <si>
    <t>Lab Call</t>
  </si>
  <si>
    <t>SBIR/STTR Program</t>
  </si>
  <si>
    <t>DNFA (Determination of Noncompetitive Financial Assistance)</t>
  </si>
  <si>
    <t>Time to Commercialize Options</t>
  </si>
  <si>
    <t>0-1 years (high TRL project with anticipated transition to commercial use within 1 year of project end)</t>
  </si>
  <si>
    <t>1-3 years (high TRL project with anticipated commercialization 1-3 years after project completion)</t>
  </si>
  <si>
    <t>3-5 years (mid/high TRL project with anticipated commercialization 3-5 years after project completion)</t>
  </si>
  <si>
    <t>5-10 years (low/mid TRL project with anticipated commercialization 5-10 years after project completion)</t>
  </si>
  <si>
    <t>10+ years (low TRL project with anticipated commercialization more than 10 years after project completion)</t>
  </si>
  <si>
    <t>AMO Multi-Year Program Plan (MYPP) Technology Areas &amp; Crosscuts</t>
  </si>
  <si>
    <t>Targets List Name</t>
  </si>
  <si>
    <t>MYPP Targets</t>
  </si>
  <si>
    <t>MYPP Target #1 Number</t>
  </si>
  <si>
    <t>MYPP Target #1 Success Indicator(s)</t>
  </si>
  <si>
    <t>MYPP Target #1 Text</t>
  </si>
  <si>
    <t>MYPP Target #2 Number</t>
  </si>
  <si>
    <t>MYPP Target #2 Success Indicator(s)</t>
  </si>
  <si>
    <t>MYPP Target #2 Text</t>
  </si>
  <si>
    <t>MYPP Target #3 Number</t>
  </si>
  <si>
    <t>MYPP Target #3 Success Indicator(s)</t>
  </si>
  <si>
    <t>MYPP Target #3 Text</t>
  </si>
  <si>
    <t>MYPP Target #4 Number</t>
  </si>
  <si>
    <t>MYPP Target #4 Success Indicator(s)</t>
  </si>
  <si>
    <t>MYPP Target #4 Text</t>
  </si>
  <si>
    <t>MYPP Target #5 Number</t>
  </si>
  <si>
    <t>MYPP Target #5 Success Indicator(s)</t>
  </si>
  <si>
    <t>MYPP Target #5 Text</t>
  </si>
  <si>
    <t>Additive Manufacturing</t>
  </si>
  <si>
    <t>Targets_Additive_Manufacturing</t>
  </si>
  <si>
    <t>Technology Area</t>
  </si>
  <si>
    <t>EI, LC</t>
  </si>
  <si>
    <t>Develop AM systems that deliver 50% improved performance per unit cost compared to a conventionally produced part.</t>
  </si>
  <si>
    <t>Develop rapid qualification methodologies that reduce certification cost by 50%.</t>
  </si>
  <si>
    <t>Develop next-generation AM systems that deliver consistently reliable parts with predictable properties to six standard deviations (“six-sigma”) for specific applications.</t>
  </si>
  <si>
    <t>Advanced Materials Manufacturing</t>
  </si>
  <si>
    <t>Targets_Advanced_Materials</t>
  </si>
  <si>
    <t>LC</t>
  </si>
  <si>
    <r>
      <t>Develop manufacturing processes for lightweight metals for light duty vehicles at a strength/weight ratio of at least 200 MPa/(g/cm</t>
    </r>
    <r>
      <rPr>
        <vertAlign val="superscript"/>
        <sz val="9"/>
        <color theme="1"/>
        <rFont val="Calibri"/>
        <family val="2"/>
        <scheme val="minor"/>
      </rPr>
      <t>3</t>
    </r>
    <r>
      <rPr>
        <sz val="9"/>
        <color theme="1"/>
        <rFont val="Calibri"/>
        <family val="2"/>
        <scheme val="minor"/>
      </rPr>
      <t>) at an added cost of no more than $7/kg of weight saved.</t>
    </r>
  </si>
  <si>
    <t>Develop scalable manufacturing processes for a range of materials with 15% or greater improved thermal or electrical conductivity.</t>
  </si>
  <si>
    <t>Use existing modeling and simulation tools to accelerate capability of predicting material behavior (e.g., tensile strength, hardness, fatigue strength, corrosion, and toughness) as microstructure evolves during materials processing.</t>
  </si>
  <si>
    <t>Develop new process technologies that can provide production quantities of commercial-scale atomically precise products.</t>
  </si>
  <si>
    <t>Advanced Sensors, Controls, and Platforms for Manufacturing (Smart Manufacturing)</t>
  </si>
  <si>
    <t>Targets_Advanced_Sensors</t>
  </si>
  <si>
    <t>EI</t>
  </si>
  <si>
    <t>Develop advanced sensors, controls, platforms, and models for targeted applications that reduce energy intensity (energy consumed per unit of physical output) by 15% compared to 2015 typical technology.</t>
  </si>
  <si>
    <t>Reduce the cost of implementing Smart Manufacturing systems (advanced sensors, controls, platforms, and models) in existing processes by 50% compared to 2015 typical technology.</t>
  </si>
  <si>
    <t>Combined Heat and Power</t>
  </si>
  <si>
    <t>Targets_CHP</t>
  </si>
  <si>
    <t>EI, EM</t>
  </si>
  <si>
    <t xml:space="preserve">Achieve a ten-fold cumulative increase in direct CHP technical support activities to potential commercial, institutional, and industrial end-users. </t>
  </si>
  <si>
    <t>Advance the development of cost-effective CHP systems that are responsive to site demands as well as grid requirements.</t>
  </si>
  <si>
    <t>Develop cost effective, high power-to-heat (P/H) ratio CHP systems with &gt;65% electric generation efficiency, &gt;75% system efficiency (HHV), and P/H &gt;= 1.</t>
  </si>
  <si>
    <t>EM</t>
  </si>
  <si>
    <t>Support a 20% reduction in installed cost of commercially available, packaged (&lt;10 MW) CHP systems (while maintaining &gt;75% system efficiency at HHV).</t>
  </si>
  <si>
    <t>Composite Materials</t>
  </si>
  <si>
    <t>Targets_Composite_Materials</t>
  </si>
  <si>
    <t>EI, LC, AA</t>
  </si>
  <si>
    <t>Reduce production cost of finished carbon fiber composite components for targeted energy-consuming applications by 50% compared to 2015 state-of-the-art technology.</t>
  </si>
  <si>
    <r>
      <t>Develop composite molding manufacturing process with &lt;1.5-minute part-to-part cycle time for a structural component with surface area &gt;0.5m</t>
    </r>
    <r>
      <rPr>
        <vertAlign val="superscript"/>
        <sz val="9"/>
        <color theme="1"/>
        <rFont val="Calibri"/>
        <family val="2"/>
        <scheme val="minor"/>
      </rPr>
      <t>2</t>
    </r>
    <r>
      <rPr>
        <sz val="9"/>
        <color theme="1"/>
        <rFont val="Calibri"/>
        <family val="2"/>
        <scheme val="minor"/>
      </rPr>
      <t>.</t>
    </r>
  </si>
  <si>
    <t xml:space="preserve">Develop manufacturing technologies that reduce the embodied energy and production-associated GHG emissions of carbon fiber reinforced polymer (CFRP) by 75% compared to 2015 typical technology. </t>
  </si>
  <si>
    <t>Develop technologies that recycle or reuse &gt;95% of fiber reinforced polymer composites into useful components with projected cost and quality competitive with virgin materials.</t>
  </si>
  <si>
    <t>Develop fiber reinforced polymer composites with projected cost and embodied energy parity with 2015 typical glass fiber composites and with performance of carbon fiber composites.</t>
  </si>
  <si>
    <t>Critical Materials</t>
  </si>
  <si>
    <t>Targets_Critical_Materials</t>
  </si>
  <si>
    <t>LC, AA</t>
  </si>
  <si>
    <t>Develop processing technologies for neodymium and other critical materials needed to meet U.S. energy requirements.</t>
  </si>
  <si>
    <t>Develop a new phosphor that requires one-tenth critical rare earth elements compared to current fluorescent lamp phosphors.</t>
  </si>
  <si>
    <t>Develop substitute materials for rare earth permanent magnets that exhibit properties similar to current magnets, but contain one-tenth rare earth/critical materials compared to 2015 state-of-the-art materials.</t>
  </si>
  <si>
    <t>Recover and recycle materials from end-of-life (EOL) products and manufacturing waste to increase domestic availability of critical materials for energy technologies by 20%.</t>
  </si>
  <si>
    <t>Direct Thermal Energy Conversion Materials</t>
  </si>
  <si>
    <t>Targets_Thermal_Conversion_Materials</t>
  </si>
  <si>
    <t>Develop direct thermal energy conversion systems with energy efficiencies greater than 30%.</t>
  </si>
  <si>
    <t>Develop systems for industrial refrigeration with energy efficiency greater than 30% over vapor-compression systems.</t>
  </si>
  <si>
    <t>Develop waste heat recovery direct thermal energy conversion systems with modeled deployment cost of less than $1/W.</t>
  </si>
  <si>
    <t>Bring heat pump direct energy conversion systems to cost parity with conventional commercial technologies.</t>
  </si>
  <si>
    <t>Develop caloric materials, integrated devices, and systems that require applied field strengths 30%–50 % lower than 2015 baselines.</t>
  </si>
  <si>
    <t>Materials for Harsh Service Conditions</t>
  </si>
  <si>
    <t>Targets_Materials_Harsh</t>
  </si>
  <si>
    <t>Accelerate by 50% the ability to predict a material’s response (microstructure and properties) to a change in conditions in selected applications or materials classes.</t>
  </si>
  <si>
    <t>Accelerate the process of materials development by 50% to improve performance in selected applications or materials classes.</t>
  </si>
  <si>
    <t>Achieve performance-based cost parity for the manufacture of alternate materials and parts for use in harsh service conditions in selected applications or materials classes.</t>
  </si>
  <si>
    <t>Process Heating</t>
  </si>
  <si>
    <t>Targets_Process_Heating</t>
  </si>
  <si>
    <t>Develop low-thermal-budget manufacturing technologies that reduce energy intensity (energy consumed per unit of physical output) by at least 50% compared to 2015 typical technology.</t>
  </si>
  <si>
    <t>Develop advanced process heating unit operations that provide improved properties, quality, and/or product value at cost parity to conventional techniques.</t>
  </si>
  <si>
    <t>Process Intensification</t>
  </si>
  <si>
    <t>Targets_Process_Intensification</t>
  </si>
  <si>
    <t xml:space="preserve">Develop and validate process intensification technologies with an order of magnitude energy efficiency (% energy use reduction to produce a unit of output) improvement relative to 2015 typical technology. </t>
  </si>
  <si>
    <t xml:space="preserve">Develop and validate modular process intensification technologies that double energy productivity (economic output per unit energy input). </t>
  </si>
  <si>
    <t>Develop modular process intensification technologies with capital and operating cost parity relative to 2015 state-of-the-art for selected existing processes.</t>
  </si>
  <si>
    <t>Develop technologies that optimize catalyst conversion rates, selectivity, activity, and stability, and enable at least 20% improvement in energy intensity compared to 2015 state-of-the-art technology.</t>
  </si>
  <si>
    <t>Roll-to-Roll Processing</t>
  </si>
  <si>
    <t>Targets_Roll-to-Roll Processing</t>
  </si>
  <si>
    <t>Develop technologies to reduce the cost per manufactured throughput of continuous R2R manufacturing processes for selected products by 50% concurrent with a 10X production capacity increase compared to 2015 typical technology.</t>
  </si>
  <si>
    <t>Develop in-line instrumentation tools that will evaluate the quality of single and multi-layer materials in-process with respect to final product performance and functionality against performance specifications at a 100% level.</t>
  </si>
  <si>
    <t>Sustainable Manufacturing</t>
  </si>
  <si>
    <t>Targets_Sustainable_Manufacturing</t>
  </si>
  <si>
    <t>Develop material reuse, recycling, remanufacturing, and/or reprocessing technologies that enable an absolute increase in recycling rate by 30% of select energy-intensive materials and 25% improvement in embodied-energy efficiency.</t>
  </si>
  <si>
    <t>Develop tools and technologies to reduce the cost of using recycled feedstocks in existing processes to cost parity (including energy) with primary feedstocks.</t>
  </si>
  <si>
    <t>Develop technologies and targeted end use products that have the potential to improve material efficiency compared to 2015 state-of-the-art, resulting in 10x reduction in primary material feedstock and 20% lower GHG emissions.</t>
  </si>
  <si>
    <t>LC, EM</t>
  </si>
  <si>
    <t>Develop technologies and targeted end use products that have the potential to reduce water intensity compared to 2015 state-of-the-art.</t>
  </si>
  <si>
    <t>Waste Heat Recovery Systems</t>
  </si>
  <si>
    <t>Targets_Waste_Heat_Recovery</t>
  </si>
  <si>
    <t>Develop enabling technologies for low maintenance, high reliability recovery systems for industrial waste heat streams, and reduce payback period by at least 30% compared to existing systems in various temperature ranges.</t>
  </si>
  <si>
    <t>Develop material and system advancements to enable greater recovery from high-temperature (&gt;650°C) and heavily contaminated industrial waste heat streams, and cost-effectively utilize 30% of available waste heat in this temperature range.</t>
  </si>
  <si>
    <t>Develop innovative, cost-effective systems to recover heat from low-temperature (&lt;230°C) waste heat sources and successfully utilize 20% of available waste heat in this temperature range.</t>
  </si>
  <si>
    <t>Wide Bandgap Semiconductors for Power Electronics</t>
  </si>
  <si>
    <t>Targets_Wide_Bandgap_Semiconductors</t>
  </si>
  <si>
    <t>Reduce volume and weight of targeted power electronic systems by 50% with respect to their silicon-based equivalents.</t>
  </si>
  <si>
    <t>Increase the efficiency of targeted power electronic systems by 2%–3% (a reduction in losses of 28% or above) with respect to their silicon-based equivalents.</t>
  </si>
  <si>
    <t>Validate a factor of 3 improvement in the reliability (failures reduced to one-third over 10 years) of targeted electrical devices produced at high volumes over their silicon-based equivalent.</t>
  </si>
  <si>
    <t>Increase the efficiency of targeted electric machines by 2-3% (a reduction in losses of 28 – 75%).</t>
  </si>
  <si>
    <t>Clean Water Technologies</t>
  </si>
  <si>
    <t>Targets_Clean_Water</t>
  </si>
  <si>
    <t>Crosscutting Area</t>
  </si>
  <si>
    <r>
      <t>Provide water at &lt;500 mg/l TDS at a maximum cost of $0.10/m</t>
    </r>
    <r>
      <rPr>
        <vertAlign val="superscript"/>
        <sz val="9"/>
        <color theme="1"/>
        <rFont val="Calibri"/>
        <family val="2"/>
        <scheme val="minor"/>
      </rPr>
      <t>3</t>
    </r>
    <r>
      <rPr>
        <sz val="9"/>
        <color theme="1"/>
        <rFont val="Calibri"/>
        <family val="2"/>
        <scheme val="minor"/>
      </rPr>
      <t xml:space="preserve"> and 0.5 kWh/m</t>
    </r>
    <r>
      <rPr>
        <vertAlign val="superscript"/>
        <sz val="9"/>
        <color theme="1"/>
        <rFont val="Calibri"/>
        <family val="2"/>
        <scheme val="minor"/>
      </rPr>
      <t>3</t>
    </r>
    <r>
      <rPr>
        <sz val="9"/>
        <color theme="1"/>
        <rFont val="Calibri"/>
        <family val="2"/>
        <scheme val="minor"/>
      </rPr>
      <t xml:space="preserve"> for water from brackish sources.</t>
    </r>
  </si>
  <si>
    <r>
      <t>Provide water at &lt;500 mg/l TDS at a cost of $0.50/m</t>
    </r>
    <r>
      <rPr>
        <vertAlign val="superscript"/>
        <sz val="9"/>
        <color theme="1"/>
        <rFont val="Calibri"/>
        <family val="2"/>
        <scheme val="minor"/>
      </rPr>
      <t>3</t>
    </r>
    <r>
      <rPr>
        <sz val="9"/>
        <color theme="1"/>
        <rFont val="Calibri"/>
        <family val="2"/>
        <scheme val="minor"/>
      </rPr>
      <t xml:space="preserve"> and 1 kWh/m</t>
    </r>
    <r>
      <rPr>
        <vertAlign val="superscript"/>
        <sz val="9"/>
        <color theme="1"/>
        <rFont val="Calibri"/>
        <family val="2"/>
        <scheme val="minor"/>
      </rPr>
      <t>3</t>
    </r>
    <r>
      <rPr>
        <sz val="9"/>
        <color theme="1"/>
        <rFont val="Calibri"/>
        <family val="2"/>
        <scheme val="minor"/>
      </rPr>
      <t xml:space="preserve"> for water from seawater.</t>
    </r>
  </si>
  <si>
    <r>
      <t>Provide purified water from produced water sources for industrial use at processing costs below $1/m</t>
    </r>
    <r>
      <rPr>
        <vertAlign val="superscript"/>
        <sz val="9"/>
        <color theme="1"/>
        <rFont val="Calibri"/>
        <family val="2"/>
        <scheme val="minor"/>
      </rPr>
      <t>3</t>
    </r>
    <r>
      <rPr>
        <sz val="9"/>
        <color theme="1"/>
        <rFont val="Calibri"/>
        <family val="2"/>
        <scheme val="minor"/>
      </rPr>
      <t xml:space="preserve"> and 1 kWh/m</t>
    </r>
    <r>
      <rPr>
        <vertAlign val="superscript"/>
        <sz val="9"/>
        <color theme="1"/>
        <rFont val="Calibri"/>
        <family val="2"/>
        <scheme val="minor"/>
      </rPr>
      <t>3</t>
    </r>
    <r>
      <rPr>
        <sz val="9"/>
        <color theme="1"/>
        <rFont val="Calibri"/>
        <family val="2"/>
        <scheme val="minor"/>
      </rPr>
      <t xml:space="preserve"> to eliminate the need for well re-injection.</t>
    </r>
  </si>
  <si>
    <t xml:space="preserve">Research and develop advanced manufacturing technologies with potential to reduce cost for equipment and parts for water processing by 50%. </t>
  </si>
  <si>
    <t>Reduce net energy consumption of waste water treatment by 50% in 10 years.</t>
  </si>
  <si>
    <t>Cybersecurity</t>
  </si>
  <si>
    <t>Targets_Cybersecurity</t>
  </si>
  <si>
    <t>TE</t>
  </si>
  <si>
    <t>Achieve recorded adoption of cybersecurity standards and best practices by over half of U.S. manufacturers.</t>
  </si>
  <si>
    <t>Double the annual number of Coordinated Vulnerability Disclosures (CVDs) involving manufacturers.</t>
  </si>
  <si>
    <t>Increase overall energy efficiency in manufacturing processes through secure process automation.</t>
  </si>
  <si>
    <t>Reduce the overall cost of implementation of state-of-the-art cybersecurity measures applicable to the manufacturing sector.</t>
  </si>
  <si>
    <t>Reduce the mean time-to-detect and time-to-recover from cyber-attacks by half.</t>
  </si>
  <si>
    <t>Energy Efficient Advanced Computing</t>
  </si>
  <si>
    <t>Targets_Energy_Efficient_Computing</t>
  </si>
  <si>
    <t>Develop technologies that will enable 10x improvement in computing energy efficiency over 2015 state of the art by 2025.</t>
  </si>
  <si>
    <t>Develop transistors with switching energy that is 1% of current CMOS transistor energy.</t>
  </si>
  <si>
    <t>Develop manufacturing methods for spintronics, plasmonics, and photonics computing devices.</t>
  </si>
  <si>
    <t>Develop an advanced computing system with interconnect densities 1,000x higher than 2015 technology.</t>
  </si>
  <si>
    <t>Develop basic neuromorphic integrated circuits with a footprint one-tenth of 2015 technology.</t>
  </si>
  <si>
    <t>Motor Driven Systems</t>
  </si>
  <si>
    <t>Targets_Motor_Driven_Systems</t>
  </si>
  <si>
    <t>Develop a 1 megawatt (MW) electric motor, operating at 15,000 revolutions per minute (rpm), driven by a WBG-based, medium voltage (MV), variable speed drive (VSD), with a minimum system efficiency of 93%.</t>
  </si>
  <si>
    <t>Develop advanced materials to enable significant reduction in motor energy losses.</t>
  </si>
  <si>
    <t>Identify and advance innovative technologies to optimize motor system design and efficiency.</t>
  </si>
  <si>
    <t>Other (Project not in a MYPP Technology Area)</t>
  </si>
  <si>
    <t>Targets_Other</t>
  </si>
  <si>
    <t>Challenges List Name</t>
  </si>
  <si>
    <t>MYPP Challenges</t>
  </si>
  <si>
    <t>Challenges_Additive_Manufacturing</t>
  </si>
  <si>
    <t>Process control: feedback control systems and metrics to improve precision, reliability, and quality.</t>
  </si>
  <si>
    <t>Tolerances: micron-scale accuracy.</t>
  </si>
  <si>
    <t>Surface finishes: finishes to achieve desired tribological and aesthetic properties.</t>
  </si>
  <si>
    <t>Processing speed: high-throughput additive processing methods to compete with conventional techniques.</t>
  </si>
  <si>
    <t>Scalability: capabilities for large-volume production, both in size and number of parts produced.</t>
  </si>
  <si>
    <t>Materials compatibility: new metal and polymer materials formulated for additive manufacturing, providing application-specific properties such as flexibility, conductivity, and transparency.</t>
  </si>
  <si>
    <t>Modeling: physics-based models to understand the fundamentals of additive processes, especially for multi-material and multi-phase systems and interfaces.</t>
  </si>
  <si>
    <t>Validation: established material properties for additive manufacturing materials and qualification of manufactured components.</t>
  </si>
  <si>
    <t>Challenges_Advanced_Materials</t>
  </si>
  <si>
    <t>Time to develop new materials: long discovery-to-market timeframe involved in the development of new materials.</t>
  </si>
  <si>
    <t>Detailed knowledge of processing conditions: the proprietary nature and equipment-unique nature of the production processing conditions can mean that the physics of the processes as well as the detailed boundary conditions may not be known in order to develop comprehensive multi-physics models.</t>
  </si>
  <si>
    <t xml:space="preserve">Predictive theory and modeling: high cost and long development times for models with the required predictive capabilities. </t>
  </si>
  <si>
    <t>Experimentation and model validation: lack of capabilities for the synthesis, characterization, manufacturing scale-up, and performance validation of new materials; lack of in situ metrology and real-time process control.</t>
  </si>
  <si>
    <t>Uncertainty in models: difficulties in quantifying model uncertainties, which can propagate through linked models or computations.</t>
  </si>
  <si>
    <t>Uncertainty in physical systems: stochastic nature of point flaws can initiate global material failure.</t>
  </si>
  <si>
    <t xml:space="preserve">Data volume: large volumes of data; extensive challenges in digital data management, e.g., for material databases. </t>
  </si>
  <si>
    <t>Demonstrations: high costs and time requirements of building full-scale demonstration systems.</t>
  </si>
  <si>
    <t>Challenges_Advanced_Sensors</t>
  </si>
  <si>
    <t>Value proposition: reduction of costly infrastructure and staffing/training needed to implement smart manufacturing technologies.</t>
  </si>
  <si>
    <t>Compatibility with existing operations and business structure: avoidance of interruption of continuous production processes for implementation of sensor and IT technologies.</t>
  </si>
  <si>
    <t>Technical limitations in sensing and control: instrumentation that can operate reliably and noninvasively in harsh industrial environments.</t>
  </si>
  <si>
    <t>Hardware and software lock-in issues: forwards and backwards compatible control equipment and software to mitigate retrofitting challenges.</t>
  </si>
  <si>
    <t>Data availability and format: the availability of data is crucial; manufacturing related data can be collected at the equipment, process, or plant level; depending on these levels, data variety, data volume, and data velocity can vary substantially.</t>
  </si>
  <si>
    <t>Cybersecurity and risk: resilience to cyberattacks that pose risks to IT/OT (industrial control systems) dependent operations.</t>
  </si>
  <si>
    <t>Challenges_CHP</t>
  </si>
  <si>
    <t xml:space="preserve">Cost and complexity of installation and operation: capital investments can often be cost prohibitive, particularly in a rapidly changing policy and economic environment. </t>
  </si>
  <si>
    <t>Reliability, availability, maintainability, and durability: need for improved performance characteristics verification for CHP systems.</t>
  </si>
  <si>
    <t>System packaging: need for pre-packaged CHP solutions that harmonize multiple components and can be easily selected and installed.</t>
  </si>
  <si>
    <t>Scalability: need for higher-efficiency CHP systems in the 1-5 MW size range.</t>
  </si>
  <si>
    <t xml:space="preserve">Fuel flexibility: lack of versatility to use a variety of input fuels, including renewable fuels. </t>
  </si>
  <si>
    <t>High power-to-heat ratios: lack of high P/H ratios to enable broader adoption in end-use sectors.</t>
  </si>
  <si>
    <t>Materials challenges: lack of economical materials that can operate at higher temperatures and resist corrosion.</t>
  </si>
  <si>
    <t>Combined-cycle integration: need for balance of power distribution between cycles and optimization of internal mass and heat flows.</t>
  </si>
  <si>
    <t>Hybrid CHP-renewable energy: need for commercially proven and available hybrid CHP-renewable energy systems.</t>
  </si>
  <si>
    <t>Regulatory barriers: inconsistent interconnection requirements and standards; need to quantify CHP’s full energy and non-energy value in utility procurement and resource planning and incentives, and accurately apportion rates based on cost of service; unfavorable standby rates.</t>
  </si>
  <si>
    <t>Challenges_Composite_Materials</t>
  </si>
  <si>
    <t>Material costs: high raw material costs, particularly for fiber precursors.</t>
  </si>
  <si>
    <t>Scalability: lack of generally applicable, high-production-volume manufacturing methods for composite materials and components.</t>
  </si>
  <si>
    <t>Production speeds: long cycle times and low throughputs for composite part manufacturing, including joining techniques.</t>
  </si>
  <si>
    <t>Manufacturing energy intensity: high raw material embodied energy and manufacturing energy requirements, reducing some of the energy advantages of lightweighting.</t>
  </si>
  <si>
    <t>Recyclability: difficulty in separating fiber reinforcements from cured thermoset matrix materials; inferior mechanical properties in recycled materials compared to virgin products; immature infrastructure for collecting and re-using composite materials at end-of-life.</t>
  </si>
  <si>
    <t>Validation and in-line diagnostics: lack of standard performance validation techniques for crashworthiness and other safety-critical applications; lack of low cost high speed in-line diagnostics for quality control to minimize defects in materials and components.</t>
  </si>
  <si>
    <t>Prognostics: lack of established design protocols and reliable end-to-end predictive modeling techniques for composite materials and components.</t>
  </si>
  <si>
    <t>Challenges_Critical_Materials</t>
  </si>
  <si>
    <t xml:space="preserve">Supply diversity: reliance on sole (or nearly sole) suppliers and politically unstable regions for key energy materials. </t>
  </si>
  <si>
    <t>Lack of material substitutes: need for viable material- or system-level substitutions to reduce the dependence of energy technologies on particular critical materials.</t>
  </si>
  <si>
    <t>Cost and regulatory barriers for new mines: inability to quickly commission new mines, which works against efforts to diversify supply.</t>
  </si>
  <si>
    <t xml:space="preserve">Utilization of co-produced rare earths: challenges in making full use of abundant, co-produced rare earth elements (such as cerium) in practical applications. </t>
  </si>
  <si>
    <t>Separations challenges: technical difficulty and inefficiency of certain separations processes used to extract rare earth metals.</t>
  </si>
  <si>
    <t>Recycling and reuse: uncertain market and collection logistics for recovering critical materials.</t>
  </si>
  <si>
    <t>Competing technology demand: use of critical materials in energy applications is often a small percentage of their overall use; if demand for these materials rises in non-energy applications, there can be further constraints on the supply available for the energy-related applications.</t>
  </si>
  <si>
    <t>Challenges_Thermal_Conversion_Materials</t>
  </si>
  <si>
    <t>Figure of merit of materials: direct energy conversion materials tend to have low efficiencies and properties that restrict how and where they can be used.</t>
  </si>
  <si>
    <t>Cost of materials: direct conversion materials remain too expensive in order to compete directly with conventional energy sources.</t>
  </si>
  <si>
    <t>Manufacturing challenges: current labor-intensive methods are costly and limit production.</t>
  </si>
  <si>
    <t>System-level challenges: systems have design and material needs (e.g., heat exchanger design, powerful ferromagnetic materials) that limit the ability to leverage direct conversion properties and be able to compete with established technologies.</t>
  </si>
  <si>
    <t>Challenges_Materials_Harsh</t>
  </si>
  <si>
    <t>Manufacturing: Conceptual solutions exist, but the pathway to manufacture the materials cost-effectively does not. Cost-effective manufacturing includes production of materials and assembly of parts which requires integration of materials in structures (joining, coating, sealing, etc.) and consideration of the supply chain (e.g., raw material flexibility and recycling/reprocessing)</t>
  </si>
  <si>
    <t xml:space="preserve">Fundamental understanding of extreme and complex conditions: Material degradation ranging from gradual performance loss to catastrophic failure can result from a complex combination of conditions which is difficult to replicate experimentally or predict computationally. Current barriers include lack of in-situ characterization technologies; poor understanding of time dependence of reactions and transformations under non-steady state conditions; lack of predictive capability in a multi-scale environment; and a lack of data and informatics for integrated computational materials engineering. </t>
  </si>
  <si>
    <t xml:space="preserve">Materials discovery: Accelerated materials discovery is needed to meet the demands for future power systems. Surfaces and interfaces are the first line of defense against chemical attack, tribological and contact mechanical loads, and thermal resistance. Bulk structures need to be resilient against temperature, creep, un-desired phase changes, and other micro-structural changes. </t>
  </si>
  <si>
    <r>
      <t>Flexible and advanced energy solutions: The future will inevitably present challenges to materials when a variety of power sources play an important role in the grid. Besides power generation, electrification, CO</t>
    </r>
    <r>
      <rPr>
        <vertAlign val="subscript"/>
        <sz val="9"/>
        <color theme="1"/>
        <rFont val="Calibri"/>
        <family val="2"/>
        <scheme val="minor"/>
      </rPr>
      <t>2</t>
    </r>
    <r>
      <rPr>
        <sz val="9"/>
        <color theme="1"/>
        <rFont val="Calibri"/>
        <family val="2"/>
        <scheme val="minor"/>
      </rPr>
      <t xml:space="preserve"> reduction, and fuel flexibility will require machines and tools operating under new types of harsh conditions.</t>
    </r>
  </si>
  <si>
    <t>Challenges_Process_Heating</t>
  </si>
  <si>
    <t>Equipment inventory: lack of comprehensive and detailed understanding of the demographics (e.g., age, state, utilization capacity) of process heating equipment in the U.S.</t>
  </si>
  <si>
    <t>Electrotechnologies: currently very limited (&lt;5%) use of electric and hybrid-electric systems for heating, curing, drying, and other operations to take advantage of selective and/or volumetric heating energy benefits.</t>
  </si>
  <si>
    <t>Multi-physics modeling and design tools: lack of models to optimize energy use and heat transfer in high-temperature applications, including hybrid systems.</t>
  </si>
  <si>
    <t>Sensors and controls: lack of reliable, robust, and affordable sensors and process controls for use in high-temperature and corrosive environments.</t>
  </si>
  <si>
    <t>Retrofittable technologies: lack of strategies for integrating new furnace technologies into existing systems to improve performance without major interruptions.</t>
  </si>
  <si>
    <t>Fuel flexibility: poor compatibility of most process heating systems with a variety of input fuels, including fuel blends and low-heat-value fuels, such as waste products.</t>
  </si>
  <si>
    <t>Combustion processes: lack of understanding of fundamental processes (e.g., turbulent mixing, flue gas stream characteristics, conversion of fuels in catalytic combustion systems).</t>
  </si>
  <si>
    <t>Emissions: challenges in controlling greenhouse gas and fine particle emissions especially under diverse or varying process conditions.</t>
  </si>
  <si>
    <t>Challenges_Process_Intensification</t>
  </si>
  <si>
    <t>Equipment capital costs: high possible expenditures for replacing equipment.</t>
  </si>
  <si>
    <t>Multifunctional systems: few degrees of freedom for integrated systems control compared to single-purpose process equipment.</t>
  </si>
  <si>
    <t>New chemistry: lack of validated new conversion chemistries which combine multiple chemical steps or enable simplified process designs.</t>
  </si>
  <si>
    <t>Highly selective conversions: lack of highly selective chemistries and catalysts which minimize by-product formation and simplify product separations.</t>
  </si>
  <si>
    <t>High selectivity separations: lack of sufficiently selective low-energy separation agents (e.g., membranes and molecular sieves) to replace energy-intensive distillation and evaporation.</t>
  </si>
  <si>
    <t>High throughput separations: lack of separation methods with sufficient throughput (flux, loading capacity, etc.) to meet economic viability.</t>
  </si>
  <si>
    <t>Alternative energy: lack of cost effective technical pathways relative to existing sources for processes using alternative energy (e.g., ultrasound and microwave).</t>
  </si>
  <si>
    <t>Modeling and simulation: lack of integrated predictive tools at multiple scales to better understand molecular level interactions.</t>
  </si>
  <si>
    <t>Materials complexity: lack of advanced tools and instrumentation for understanding mechanism and detailed kinetic properties of complex materials as they are found in an operating environment.</t>
  </si>
  <si>
    <t>Challenges_Roll-to-Roll Processing</t>
  </si>
  <si>
    <t>Continuous processing: need for low-temperature, continuous processing on flexible substrates, including nontraditional substrates such as stretchable plastics and textiles.</t>
  </si>
  <si>
    <t>Registration and alignment challenges: lack of reliable, high-speed registration and alignment techniques, particularly for multilayer devices.</t>
  </si>
  <si>
    <t>Scalability: need for high-throughput and large-area printing/deposition techniques compatible with a wide range of materials, inks, and substrates.</t>
  </si>
  <si>
    <t>Materials compatibility: need for development of novel aqueous-based or other suitable inks/materials to be deposited and substrate materials compatible with roll-to-roll processing techniques for application-specific properties.</t>
  </si>
  <si>
    <t>Defects in flexible electronics: defects can cause open and short circuits, leading to device failure; defect avoidance and detection challenging for continuous roll-to-roll processes.</t>
  </si>
  <si>
    <t>Stoichiometry control and bath depletion in electroplating systems: poor control of stoichiometry in continuous, high-speed coating systems, resulting in non-uniformities and oxidation issues.</t>
  </si>
  <si>
    <t>Availability of materials data: lack of databases populated with material properties and fabrication process parameters to enable effective modeling and simulation.</t>
  </si>
  <si>
    <t>Challenges_Sustainable_Manufacturing</t>
  </si>
  <si>
    <t>Minor metals recycling: economic barriers for recycling metals occurring in low concentration, embedded in complex products, and those that are low-value (which may not justify recovery costs).</t>
  </si>
  <si>
    <t>Inefficient industry material flow tracking: lack of efficient methods to track and trace materials through full product life cycle to optimize materials use, including associated data management and analytics.</t>
  </si>
  <si>
    <t xml:space="preserve">Product yields and in-plant scrap: lower product yields due to material loss during processing are barriers to materials efficiency. </t>
  </si>
  <si>
    <t>Recycling mentality: lack of support for incorporating recycling/re-use into product designs to increase materials reclamation rates.</t>
  </si>
  <si>
    <t>Security of materials supply chains: Efficiency of materials utilization through the supply chain is also dependent on politically unstable regions for certain materials.</t>
  </si>
  <si>
    <t>Distributed manufacturing: lack of on-demand manufacturing methods of parts close to the point of need which would minimize transportation-related inefficiencies.</t>
  </si>
  <si>
    <t>Inert gas recovery: in many processes rare and costly gases, such as argon and helium, are vented to the atmosphere because they are harmless and challenging to capture.</t>
  </si>
  <si>
    <t>Challenges_Waste_Heat_Recovery</t>
  </si>
  <si>
    <t>Cleanliness of waste heat streams: fouling and interference with heat exchange as a result of moisture, particulates, and chemical contamination in waste stream.</t>
  </si>
  <si>
    <t>Lack of end use for waste heat: certain waste heat streams may have no viable end use within the facility, especially for low-temperature and contaminated gases.</t>
  </si>
  <si>
    <t>Low temperature waste heat: non-viable recovery for lower temperature (low quality) waste heat streams from cost and energy efficiency standpoints.</t>
  </si>
  <si>
    <t>Ultra-high-temperature waste heat: special materials required for ultra-high-temperature applications; material and equipment design critical.</t>
  </si>
  <si>
    <t>System maintenance challenges: lack of cleaning systems to allow on-line or automatic removal of contaminant materials on heat transfer surfaces.</t>
  </si>
  <si>
    <t>Materials availability: need for low-cost materials compatible with corrosive, high-temperature conditions.</t>
  </si>
  <si>
    <t>Equipment size: large system footprints make retrofitting challenging in space-constrained facilities.</t>
  </si>
  <si>
    <t>Challenges_Wide_Bandgap_Semiconductors</t>
  </si>
  <si>
    <t>Cost of substrates and epitaxial materials: small production volumes and high manufacturing costs result in high costs.</t>
  </si>
  <si>
    <t>Process induced defects: a better understanding of the origin of defects induced in SiC during ion implantation and the ability to lower the SiC substrate temperature during ion implantation are needed to enable lower cost manufacturing.</t>
  </si>
  <si>
    <t>High-voltage device/system reliability:  reliability qualification of &gt; 10 kV SiC die and power modules, and grid-scale laboratory testing of 13.8 kV WBG power electronics is needed to enable the technology adoption.</t>
  </si>
  <si>
    <t>Defect metrology for bulk GaN: wafer scan defect metrology and correlation to device performance and yield is needed to enable manufacturing of bulk GaN thick exitaxial layers suitable for high-voltage vertical GaN devices.</t>
  </si>
  <si>
    <t>Challenges_Clean_Water</t>
  </si>
  <si>
    <t>Contaminants: water sources contain contaminants that may vary widely in type and quantity, even within a given water source, making a single solution hard to achieve.</t>
  </si>
  <si>
    <t>Energy intensity: water purification is energy intensive with the intensity increasing with contamination concentration.</t>
  </si>
  <si>
    <t>Cost of water: market penetration of new technologies varies geographically because of uneven water costs in different parts of the country due to acquisitions of water rights and other factors.</t>
  </si>
  <si>
    <t>Limited suppliers: need more domestic suppliers of large scale water purification systems to manufacture critical components and parts.</t>
  </si>
  <si>
    <t>Pipe materials and pumps: need materials than can withstand high pressures, salts, and bio-fouling.</t>
  </si>
  <si>
    <t>Membranes: need membranes that can remove a wide array of impurities while enabling high throughput of recovered water as well as membranes with embedded sensor technology to monitor when membrane systems need to be flushed.</t>
  </si>
  <si>
    <t>Integrating complete water systems: entire systems (intake, purification technology, power supply) need to be integrated to enable optimal performance.</t>
  </si>
  <si>
    <t>Public sector risk aversion: many water and wastewater systems are owned by public entities, which are often reluctant to invest in new efficient technologies that are seen as unproven.</t>
  </si>
  <si>
    <t>Challenges_Cybersecurity</t>
  </si>
  <si>
    <t>Automation: Increased automation grows the operational space where humans are not in the loop, potential vulnerabilities and intrusions can go undetected.</t>
  </si>
  <si>
    <t xml:space="preserve">Complex Supply Chains: Suppliers of equipment, materials, and end-products in many manufacturing industries can span the globe, creating many opportunities for attacks that are not solely under the purview of one entity.  </t>
  </si>
  <si>
    <t>Information sharing: Cybersecurity can only improve if information about vulnerabilities, intrusions, and mitigations are shared across the community. There are many incentives for manufacturers not to share or seek out such information.</t>
  </si>
  <si>
    <t>Rapidly evolving landscape: With new vulnerabilities and mitigations being discovered/developed daily, it is challenging to develop and implement cybersecurity that is adaptable and can remain up-to-date. The application of artificial intelligence and cognitive computing for cybersecurity, holds a promise in addressing this evolving landscape.</t>
  </si>
  <si>
    <t>Challenges_Energy_Efficient_Computing</t>
  </si>
  <si>
    <t>Novel Materials Development: disruptive materials and technologies are needed, to provide performance advantages and significantly higher efficiencies beyond the limits of standard CMOS technologies.</t>
  </si>
  <si>
    <t xml:space="preserve">Manufacturing Scale-Up: high costs to develop manufacturing infrastructures and design new systems have shifted the industry towards high volumes and created a significant barrier for promising new materials, devices, and architectures to reach commercial scale.  </t>
  </si>
  <si>
    <t>Synergistic innovations: innovations in materials, devices, system architectures, and software applications have historically been siloed – each conducted with minimal input from the other. To fully leverage the potential of new hardware, all aspects of the system design and engineering should be developed in collaboration, to optimize materials, devices, and architectures for specific system applications.</t>
  </si>
  <si>
    <t>Challenges_Motor_Driven_Systems</t>
  </si>
  <si>
    <t>Immaturity of new or advanced materials: new materials, such as WBG semiconductors, offer great potential to improve system efficiency, but continued R&amp;D is needed to prove their viability and improve their cost-competitiveness in motor applications.</t>
  </si>
  <si>
    <t>Integration of motor-driven systems: many end-use motor-driven systems, such as pumps, fans, and compressed air equipment, have low system efficiencies; available space constraints can limit use of variable speed drives.</t>
  </si>
  <si>
    <t>Power quality: industrial motors and many power electronics devices can have a negative impact on power quality at an industrial facility.</t>
  </si>
  <si>
    <t>System sizing: many industrial motors are sized to handle peak demand; as a result, motor-driven systems often use much more power than is needed, especially when a facility is running below peak throughput.</t>
  </si>
  <si>
    <t>Equipment capital costs: impact of customer decisions regarding retrofitting (e.g., motor rewind vs. replacement) and efficiency of new motors purchased.</t>
  </si>
  <si>
    <t>Challenges_Other</t>
  </si>
  <si>
    <t>Unit Conversion</t>
  </si>
  <si>
    <t>lb (CO2)/Mmbtu  -&gt;  kg (CO2)/kWh</t>
  </si>
  <si>
    <t>kg (CO2)/kWh -&gt; lb (CO2)/Mmbtu</t>
  </si>
  <si>
    <t>lb (CO2)/MMbtu -&gt; kg (CO2)/GJ</t>
  </si>
  <si>
    <t>kg (CO2)/GJ -&gt; lb (CO2)/Mmbtu</t>
  </si>
  <si>
    <t>lb -&gt; kg</t>
  </si>
  <si>
    <t>kg -&gt; lb</t>
  </si>
  <si>
    <t>kWh -&gt; MMBtu</t>
  </si>
  <si>
    <t>Mmbtu -&gt; kWh</t>
  </si>
  <si>
    <t>kWh -&gt; Joule</t>
  </si>
  <si>
    <t>Jouel -&gt; kWh</t>
  </si>
  <si>
    <t>Conversion Values</t>
  </si>
  <si>
    <t>Lubrication</t>
  </si>
  <si>
    <t>Lubrication &amp; Maintenance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</si>
</sst>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6" formatCode="&quot;$&quot;#,##0_);[Red]\(&quot;$&quot;#,##0\)"/>
    <numFmt numFmtId="44" formatCode="_(&quot;$&quot;* #,##0.00_);_(&quot;$&quot;* \(#,##0.00\);_(&quot;$&quot;* &quot;-&quot;??_);_(@_)"/>
    <numFmt numFmtId="43" formatCode="_(* #,##0.00_);_(* \(#,##0.00\);_(* &quot;-&quot;??_);_(@_)"/>
    <numFmt numFmtId="164" formatCode="[$-409]mmmm\-yy;@"/>
    <numFmt numFmtId="165" formatCode="[$-409]yyyy;@"/>
    <numFmt numFmtId="166" formatCode="#,##0.00\ &quot;lb&quot;"/>
    <numFmt numFmtId="167" formatCode="&quot;$&quot;#,##0.00"/>
    <numFmt numFmtId="168" formatCode="#,##0\ &quot;Btu&quot;"/>
    <numFmt numFmtId="169" formatCode="0.000"/>
    <numFmt numFmtId="170" formatCode="#,##0.000\ &quot;MMBtu&quot;"/>
    <numFmt numFmtId="171" formatCode="&quot;$&quot;#,##0"/>
    <numFmt numFmtId="172" formatCode="#,##0.00\ &quot;MJ&quot;"/>
    <numFmt numFmtId="173" formatCode="0.0%"/>
    <numFmt numFmtId="174" formatCode="#,##0\ &quot;TBtu&quot;"/>
    <numFmt numFmtId="175" formatCode="[$-409]mmm\-yy;@"/>
    <numFmt numFmtId="176" formatCode="#,##0\ &quot;MMBtu&quot;"/>
    <numFmt numFmtId="177" formatCode="#,##0.0"/>
    <numFmt numFmtId="178" formatCode="#,##0.0\ &quot;MMBtu&quot;"/>
    <numFmt numFmtId="179" formatCode="#,##0.00\ &quot;MMBtu&quot;"/>
    <numFmt numFmtId="180" formatCode="&quot;$&quot;#,##0\ &quot;million&quot;"/>
    <numFmt numFmtId="181" formatCode="&quot;$&quot;#,##0.0\ &quot;M&quot;"/>
    <numFmt numFmtId="182" formatCode="#,##0\ &quot;lbs CO2-e&quot;"/>
    <numFmt numFmtId="183" formatCode="0.0"/>
    <numFmt numFmtId="184" formatCode="#,##0.0\ &quot;lb CO2-e&quot;"/>
    <numFmt numFmtId="185" formatCode="#,##0\ &quot;tons CO2-e&quot;"/>
    <numFmt numFmtId="186" formatCode="0.0000"/>
    <numFmt numFmtId="187" formatCode="#,##0.0000"/>
    <numFmt numFmtId="188" formatCode="#,##0\ &quot;million tons CO2-e&quot;"/>
    <numFmt numFmtId="189" formatCode="#,##0.0\ &quot;TBtu&quot;"/>
    <numFmt numFmtId="190" formatCode="#,##0.0\ &quot;million tons CO2-e&quot;"/>
    <numFmt numFmtId="191" formatCode="0.00000"/>
    <numFmt numFmtId="192" formatCode="#,##0.00\ &quot;million tons CO2-e&quot;"/>
    <numFmt numFmtId="193" formatCode="#,##0.0\ &quot;tons CO2-e&quot;"/>
    <numFmt numFmtId="194" formatCode="&quot;$&quot;#,##0.0000"/>
    <numFmt numFmtId="195" formatCode="#,##0.000"/>
    <numFmt numFmtId="196" formatCode="0.000000"/>
    <numFmt numFmtId="197" formatCode="#,##0.000\ &quot;lbs CO2-e&quot;"/>
    <numFmt numFmtId="198" formatCode="#,##0.0000\ &quot;MMBtu&quot;"/>
    <numFmt numFmtId="199" formatCode="#,##0.00000"/>
    <numFmt numFmtId="200" formatCode="&quot;$&quot;#,##0.000"/>
  </numFmts>
  <fonts count="117" x14ac:knownFonts="1">
    <font>
      <sz val="11"/>
      <color theme="1"/>
      <name val="Calibri"/>
      <family val="2"/>
      <scheme val="minor"/>
    </font>
    <font>
      <sz val="11"/>
      <color rgb="FF006100"/>
      <name val="Calibri"/>
      <family val="2"/>
      <scheme val="minor"/>
    </font>
    <font>
      <u/>
      <sz val="11"/>
      <color theme="10"/>
      <name val="Calibri"/>
      <family val="2"/>
      <scheme val="minor"/>
    </font>
    <font>
      <b/>
      <sz val="16"/>
      <color theme="1"/>
      <name val="Franklin Gothic Medium"/>
      <family val="2"/>
    </font>
    <font>
      <b/>
      <sz val="12"/>
      <color rgb="FFC00000"/>
      <name val="Franklin Gothic Medium"/>
      <family val="2"/>
    </font>
    <font>
      <b/>
      <sz val="14"/>
      <name val="Franklin Gothic Medium"/>
      <family val="2"/>
    </font>
    <font>
      <sz val="11"/>
      <color theme="1"/>
      <name val="Franklin Gothic Medium"/>
      <family val="2"/>
    </font>
    <font>
      <sz val="11"/>
      <name val="Franklin Gothic Medium"/>
      <family val="2"/>
    </font>
    <font>
      <i/>
      <sz val="10"/>
      <name val="Franklin Gothic Medium"/>
      <family val="2"/>
    </font>
    <font>
      <b/>
      <sz val="11"/>
      <color theme="1"/>
      <name val="Franklin Gothic Medium"/>
      <family val="2"/>
    </font>
    <font>
      <sz val="11"/>
      <color theme="0"/>
      <name val="Franklin Gothic Medium"/>
      <family val="2"/>
    </font>
    <font>
      <sz val="16"/>
      <color theme="1"/>
      <name val="Franklin Gothic Demi"/>
      <family val="2"/>
    </font>
    <font>
      <b/>
      <sz val="11"/>
      <name val="Franklin Gothic Medium"/>
      <family val="2"/>
    </font>
    <font>
      <b/>
      <sz val="10"/>
      <name val="Franklin Gothic Medium"/>
      <family val="2"/>
    </font>
    <font>
      <sz val="10"/>
      <name val="Franklin Gothic Medium"/>
      <family val="2"/>
    </font>
    <font>
      <sz val="9"/>
      <name val="Franklin Gothic Medium"/>
      <family val="2"/>
    </font>
    <font>
      <i/>
      <sz val="9"/>
      <name val="Franklin Gothic Medium"/>
      <family val="2"/>
    </font>
    <font>
      <sz val="10"/>
      <color theme="1"/>
      <name val="Franklin Gothic Medium"/>
      <family val="2"/>
    </font>
    <font>
      <sz val="9"/>
      <color theme="1"/>
      <name val="Franklin Gothic Medium"/>
      <family val="2"/>
    </font>
    <font>
      <i/>
      <u/>
      <sz val="9"/>
      <name val="Franklin Gothic Medium"/>
      <family val="2"/>
    </font>
    <font>
      <sz val="16"/>
      <color theme="1"/>
      <name val="Franklin Gothic Medium"/>
      <family val="2"/>
    </font>
    <font>
      <sz val="10"/>
      <color theme="1"/>
      <name val="Calibri"/>
      <family val="2"/>
      <scheme val="minor"/>
    </font>
    <font>
      <sz val="9"/>
      <color theme="1"/>
      <name val="Calibri"/>
      <family val="2"/>
      <scheme val="minor"/>
    </font>
    <font>
      <b/>
      <u/>
      <sz val="11"/>
      <color theme="1"/>
      <name val="Calibri"/>
      <family val="2"/>
      <scheme val="minor"/>
    </font>
    <font>
      <b/>
      <sz val="9"/>
      <color theme="1"/>
      <name val="Calibri"/>
      <family val="2"/>
      <scheme val="minor"/>
    </font>
    <font>
      <b/>
      <u/>
      <sz val="9"/>
      <color theme="1"/>
      <name val="Calibri"/>
      <family val="2"/>
      <scheme val="minor"/>
    </font>
    <font>
      <vertAlign val="superscript"/>
      <sz val="9"/>
      <color theme="1"/>
      <name val="Calibri"/>
      <family val="2"/>
      <scheme val="minor"/>
    </font>
    <font>
      <sz val="9"/>
      <name val="Calibri"/>
      <family val="2"/>
      <scheme val="minor"/>
    </font>
    <font>
      <b/>
      <sz val="9"/>
      <name val="Calibri"/>
      <family val="2"/>
      <scheme val="minor"/>
    </font>
    <font>
      <b/>
      <sz val="9"/>
      <name val="Franklin Gothic Medium"/>
      <family val="2"/>
    </font>
    <font>
      <sz val="9"/>
      <color rgb="FF000000"/>
      <name val="Calibri"/>
      <family val="2"/>
      <scheme val="minor"/>
    </font>
    <font>
      <vertAlign val="subscript"/>
      <sz val="9"/>
      <color theme="1"/>
      <name val="Calibri"/>
      <family val="2"/>
      <scheme val="minor"/>
    </font>
    <font>
      <sz val="10"/>
      <color rgb="FFFF0000"/>
      <name val="Franklin Gothic Medium"/>
      <family val="2"/>
    </font>
    <font>
      <b/>
      <sz val="9"/>
      <color indexed="81"/>
      <name val="Tahoma"/>
      <family val="2"/>
    </font>
    <font>
      <sz val="9"/>
      <color indexed="81"/>
      <name val="Tahoma"/>
      <family val="2"/>
    </font>
    <font>
      <u/>
      <sz val="10"/>
      <name val="Franklin Gothic Medium"/>
      <family val="2"/>
    </font>
    <font>
      <b/>
      <sz val="10"/>
      <color theme="1"/>
      <name val="Franklin Gothic Medium"/>
      <family val="2"/>
    </font>
    <font>
      <u/>
      <sz val="10"/>
      <color theme="1"/>
      <name val="Franklin Gothic Medium"/>
      <family val="2"/>
    </font>
    <font>
      <b/>
      <sz val="9"/>
      <color theme="1"/>
      <name val="Franklin Gothic Medium"/>
      <family val="2"/>
    </font>
    <font>
      <u/>
      <sz val="10"/>
      <color theme="10"/>
      <name val="Franklin Gothic Medium"/>
      <family val="2"/>
    </font>
    <font>
      <sz val="11"/>
      <name val="Arial"/>
      <family val="1"/>
    </font>
    <font>
      <b/>
      <sz val="11"/>
      <name val="Arial"/>
      <family val="1"/>
    </font>
    <font>
      <sz val="10"/>
      <color rgb="FF00B050"/>
      <name val="Franklin Gothic Medium"/>
      <family val="2"/>
    </font>
    <font>
      <b/>
      <sz val="11"/>
      <color rgb="FF7030A0"/>
      <name val="Calibri"/>
      <family val="2"/>
      <scheme val="minor"/>
    </font>
    <font>
      <sz val="8"/>
      <color rgb="FF7030A0"/>
      <name val="Franklin Gothic Medium"/>
      <family val="2"/>
    </font>
    <font>
      <sz val="8"/>
      <color theme="1"/>
      <name val="Franklin Gothic Medium"/>
      <family val="2"/>
    </font>
    <font>
      <sz val="8"/>
      <color rgb="FF7030A0"/>
      <name val="Calibri"/>
      <family val="2"/>
    </font>
    <font>
      <b/>
      <u/>
      <sz val="10"/>
      <color theme="1"/>
      <name val="Franklin Gothic Medium"/>
      <family val="2"/>
    </font>
    <font>
      <i/>
      <sz val="10"/>
      <color theme="1"/>
      <name val="Franklin Gothic Medium"/>
      <family val="2"/>
    </font>
    <font>
      <b/>
      <sz val="10"/>
      <color rgb="FF00B050"/>
      <name val="Franklin Gothic Medium"/>
      <family val="2"/>
    </font>
    <font>
      <b/>
      <sz val="10"/>
      <color rgb="FF00B050"/>
      <name val="Calibri"/>
      <family val="2"/>
    </font>
    <font>
      <b/>
      <sz val="11"/>
      <color theme="1"/>
      <name val="Calibri"/>
      <family val="2"/>
      <scheme val="minor"/>
    </font>
    <font>
      <sz val="11"/>
      <color theme="0"/>
      <name val="Calibri"/>
      <family val="2"/>
      <scheme val="minor"/>
    </font>
    <font>
      <b/>
      <sz val="11"/>
      <name val="Calibri"/>
      <family val="2"/>
      <scheme val="minor"/>
    </font>
    <font>
      <sz val="12"/>
      <name val="Franklin Gothic Medium"/>
      <family val="2"/>
    </font>
    <font>
      <u/>
      <sz val="12"/>
      <name val="Franklin Gothic Medium"/>
      <family val="2"/>
    </font>
    <font>
      <sz val="12"/>
      <color rgb="FF00B050"/>
      <name val="Franklin Gothic Medium"/>
      <family val="2"/>
    </font>
    <font>
      <sz val="10"/>
      <color theme="0"/>
      <name val="Franklin Gothic Medium"/>
      <family val="2"/>
    </font>
    <font>
      <b/>
      <sz val="10"/>
      <color rgb="FFFF0000"/>
      <name val="Franklin Gothic Medium"/>
      <family val="2"/>
    </font>
    <font>
      <b/>
      <sz val="12"/>
      <color rgb="FF00B050"/>
      <name val="Franklin Gothic Medium"/>
      <family val="2"/>
    </font>
    <font>
      <sz val="11"/>
      <name val="Calibri"/>
      <family val="2"/>
      <scheme val="minor"/>
    </font>
    <font>
      <sz val="11"/>
      <color rgb="FFFF0000"/>
      <name val="Calibri"/>
      <family val="2"/>
      <scheme val="minor"/>
    </font>
    <font>
      <sz val="10"/>
      <color rgb="FFFF0000"/>
      <name val="Calibri"/>
      <family val="2"/>
      <scheme val="minor"/>
    </font>
    <font>
      <sz val="8"/>
      <color theme="0" tint="-0.34998626667073579"/>
      <name val="Calibri"/>
      <family val="2"/>
      <scheme val="minor"/>
    </font>
    <font>
      <b/>
      <sz val="12"/>
      <color theme="1"/>
      <name val="Franklin Gothic Medium"/>
      <family val="2"/>
    </font>
    <font>
      <sz val="12"/>
      <color theme="1"/>
      <name val="Franklin Gothic Medium"/>
      <family val="2"/>
    </font>
    <font>
      <sz val="10"/>
      <color theme="0" tint="-4.9989318521683403E-2"/>
      <name val="Franklin Gothic Medium"/>
      <family val="2"/>
    </font>
    <font>
      <sz val="10"/>
      <name val="Calibri"/>
      <family val="2"/>
      <scheme val="minor"/>
    </font>
    <font>
      <b/>
      <sz val="12"/>
      <name val="Franklin Gothic Medium"/>
      <family val="2"/>
    </font>
    <font>
      <b/>
      <u/>
      <sz val="12"/>
      <name val="Franklin Gothic Medium"/>
      <family val="2"/>
    </font>
    <font>
      <b/>
      <sz val="12"/>
      <name val="Arial"/>
      <family val="1"/>
    </font>
    <font>
      <vertAlign val="subscript"/>
      <sz val="10"/>
      <color theme="1"/>
      <name val="Franklin Gothic Medium"/>
      <family val="2"/>
    </font>
    <font>
      <u/>
      <sz val="12"/>
      <color rgb="FF00B050"/>
      <name val="Franklin Gothic Medium"/>
      <family val="2"/>
    </font>
    <font>
      <sz val="11"/>
      <color rgb="FF00B050"/>
      <name val="Franklin Gothic Medium"/>
      <family val="2"/>
    </font>
    <font>
      <sz val="8"/>
      <name val="Calibri"/>
      <family val="2"/>
      <scheme val="minor"/>
    </font>
    <font>
      <sz val="10"/>
      <color rgb="FF7030A0"/>
      <name val="Franklin Gothic Medium"/>
      <family val="2"/>
    </font>
    <font>
      <sz val="10"/>
      <color rgb="FF7030A0"/>
      <name val="Calibri"/>
      <family val="2"/>
    </font>
    <font>
      <sz val="10"/>
      <color rgb="FF0070C0"/>
      <name val="Calibri"/>
      <family val="2"/>
    </font>
    <font>
      <sz val="10"/>
      <color rgb="FF0070C0"/>
      <name val="Franklin Gothic Medium"/>
      <family val="2"/>
    </font>
    <font>
      <b/>
      <sz val="11"/>
      <color rgb="FFC00000"/>
      <name val="Calibri"/>
      <family val="2"/>
      <scheme val="minor"/>
    </font>
    <font>
      <b/>
      <u/>
      <sz val="10"/>
      <name val="Franklin Gothic Medium"/>
      <family val="2"/>
    </font>
    <font>
      <u/>
      <sz val="10"/>
      <color theme="10"/>
      <name val="Calibri"/>
      <family val="2"/>
      <scheme val="minor"/>
    </font>
    <font>
      <sz val="10"/>
      <color theme="1" tint="0.499984740745262"/>
      <name val="Franklin Gothic Medium"/>
      <family val="2"/>
    </font>
    <font>
      <sz val="10"/>
      <color theme="4"/>
      <name val="Franklin Gothic Medium"/>
      <family val="2"/>
    </font>
    <font>
      <b/>
      <u/>
      <sz val="10"/>
      <color rgb="FF00B050"/>
      <name val="Franklin Gothic Medium"/>
      <family val="2"/>
    </font>
    <font>
      <sz val="11"/>
      <color theme="1"/>
      <name val="Calibri"/>
      <family val="2"/>
      <scheme val="minor"/>
    </font>
    <font>
      <b/>
      <i/>
      <sz val="11"/>
      <color theme="1"/>
      <name val="Calibri"/>
      <family val="2"/>
      <scheme val="minor"/>
    </font>
    <font>
      <b/>
      <i/>
      <sz val="12"/>
      <color theme="1"/>
      <name val="Calibri"/>
      <family val="2"/>
      <scheme val="minor"/>
    </font>
    <font>
      <b/>
      <u/>
      <sz val="12"/>
      <color theme="10"/>
      <name val="Calibri"/>
      <family val="2"/>
      <scheme val="minor"/>
    </font>
    <font>
      <sz val="14"/>
      <name val="Franklin Gothic Medium"/>
      <family val="2"/>
    </font>
    <font>
      <b/>
      <sz val="14"/>
      <color theme="9"/>
      <name val="Franklin Gothic Medium"/>
      <family val="2"/>
    </font>
    <font>
      <b/>
      <sz val="12"/>
      <color theme="9"/>
      <name val="Franklin Gothic Medium"/>
      <family val="2"/>
    </font>
    <font>
      <b/>
      <i/>
      <u/>
      <sz val="12"/>
      <color theme="9"/>
      <name val="Franklin Gothic Medium"/>
      <family val="2"/>
    </font>
    <font>
      <b/>
      <sz val="14"/>
      <color rgb="FF008000"/>
      <name val="Calibri"/>
      <family val="2"/>
      <scheme val="minor"/>
    </font>
    <font>
      <u/>
      <sz val="11"/>
      <color rgb="FF008000"/>
      <name val="Calibri"/>
      <family val="2"/>
      <scheme val="minor"/>
    </font>
    <font>
      <u/>
      <sz val="12"/>
      <color rgb="FF008000"/>
      <name val="Calibri"/>
      <family val="2"/>
      <scheme val="minor"/>
    </font>
    <font>
      <sz val="11"/>
      <color rgb="FF000000"/>
      <name val="Franklin Gothic Medium"/>
      <family val="2"/>
    </font>
    <font>
      <b/>
      <sz val="11"/>
      <color rgb="FF000000"/>
      <name val="Franklin Gothic Medium"/>
      <family val="2"/>
    </font>
    <font>
      <b/>
      <i/>
      <sz val="8"/>
      <name val="Franklin Gothic Medium"/>
      <family val="2"/>
    </font>
    <font>
      <i/>
      <sz val="11"/>
      <color theme="1"/>
      <name val="Calibri"/>
      <family val="2"/>
      <scheme val="minor"/>
    </font>
    <font>
      <b/>
      <sz val="12"/>
      <color theme="1"/>
      <name val="Calibri"/>
      <family val="2"/>
      <scheme val="minor"/>
    </font>
    <font>
      <b/>
      <u/>
      <sz val="14"/>
      <color theme="10"/>
      <name val="Calibri"/>
      <family val="2"/>
      <scheme val="minor"/>
    </font>
    <font>
      <i/>
      <sz val="12"/>
      <color theme="1"/>
      <name val="Calibri"/>
      <family val="2"/>
      <scheme val="minor"/>
    </font>
    <font>
      <sz val="11"/>
      <color rgb="FF9C5700"/>
      <name val="Calibri"/>
      <family val="2"/>
      <scheme val="minor"/>
    </font>
    <font>
      <i/>
      <sz val="11"/>
      <color rgb="FFFF0000"/>
      <name val="Calibri"/>
      <family val="2"/>
      <scheme val="minor"/>
    </font>
    <font>
      <sz val="10"/>
      <color theme="10"/>
      <name val="Franklin Gothic Medium"/>
      <family val="2"/>
    </font>
    <font>
      <b/>
      <i/>
      <sz val="10"/>
      <name val="Franklin Gothic Medium"/>
      <family val="2"/>
    </font>
    <font>
      <i/>
      <sz val="11"/>
      <name val="Franklin Gothic Medium"/>
      <family val="2"/>
    </font>
    <font>
      <b/>
      <i/>
      <sz val="11"/>
      <name val="Franklin Gothic Medium"/>
      <family val="2"/>
    </font>
    <font>
      <sz val="10"/>
      <color rgb="FF000000"/>
      <name val="Franklin Gothic Medium"/>
      <family val="2"/>
    </font>
    <font>
      <vertAlign val="subscript"/>
      <sz val="11"/>
      <color theme="1"/>
      <name val="Calibri"/>
      <family val="2"/>
      <scheme val="minor"/>
    </font>
    <font>
      <i/>
      <vertAlign val="subscript"/>
      <sz val="11"/>
      <color theme="1"/>
      <name val="Calibri"/>
      <family val="2"/>
      <scheme val="minor"/>
    </font>
    <font>
      <u/>
      <sz val="14"/>
      <color theme="10"/>
      <name val="Calibri"/>
      <family val="2"/>
      <scheme val="minor"/>
    </font>
    <font>
      <b/>
      <sz val="14"/>
      <color theme="1"/>
      <name val="Franklin Gothic Medium"/>
      <family val="2"/>
    </font>
    <font>
      <b/>
      <i/>
      <sz val="10"/>
      <color theme="1"/>
      <name val="Franklin Gothic Medium"/>
      <family val="2"/>
    </font>
    <font>
      <b/>
      <i/>
      <sz val="10"/>
      <color theme="1"/>
      <name val="Calibri"/>
      <family val="2"/>
      <scheme val="minor"/>
    </font>
    <font>
      <sz val="12"/>
      <color theme="1"/>
      <name val="Calibri"/>
      <family val="2"/>
      <scheme val="minor"/>
    </font>
  </fonts>
  <fills count="21">
    <fill>
      <patternFill patternType="none"/>
    </fill>
    <fill>
      <patternFill patternType="gray125"/>
    </fill>
    <fill>
      <patternFill patternType="solid">
        <fgColor rgb="FFC6EFCE"/>
      </patternFill>
    </fill>
    <fill>
      <patternFill patternType="solid">
        <fgColor rgb="FFC5E0B2"/>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rgb="FFB1BCD2"/>
      </patternFill>
    </fill>
    <fill>
      <patternFill patternType="solid">
        <fgColor rgb="FF00B050"/>
        <bgColor indexed="64"/>
      </patternFill>
    </fill>
    <fill>
      <patternFill patternType="solid">
        <fgColor rgb="FFCCCCFF"/>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3" tint="0.79998168889431442"/>
        <bgColor indexed="64"/>
      </patternFill>
    </fill>
    <fill>
      <patternFill patternType="solid">
        <fgColor rgb="FFFFCDCD"/>
        <bgColor indexed="64"/>
      </patternFill>
    </fill>
    <fill>
      <patternFill patternType="solid">
        <fgColor rgb="FFFFEB9C"/>
      </patternFill>
    </fill>
    <fill>
      <patternFill patternType="solid">
        <fgColor theme="6" tint="0.79998168889431442"/>
        <bgColor indexed="64"/>
      </patternFill>
    </fill>
    <fill>
      <patternFill patternType="solid">
        <fgColor rgb="FFFFFF00"/>
        <bgColor indexed="64"/>
      </patternFill>
    </fill>
  </fills>
  <borders count="8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dashed">
        <color theme="0" tint="-0.24994659260841701"/>
      </bottom>
      <diagonal/>
    </border>
    <border>
      <left/>
      <right style="medium">
        <color rgb="FF000000"/>
      </right>
      <top style="medium">
        <color indexed="64"/>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top style="medium">
        <color rgb="FF000000"/>
      </top>
      <bottom/>
      <diagonal/>
    </border>
    <border>
      <left/>
      <right/>
      <top style="medium">
        <color rgb="FF000000"/>
      </top>
      <bottom/>
      <diagonal/>
    </border>
    <border>
      <left/>
      <right style="medium">
        <color indexed="64"/>
      </right>
      <top style="medium">
        <color rgb="FF000000"/>
      </top>
      <bottom/>
      <diagonal/>
    </border>
    <border>
      <left/>
      <right style="thin">
        <color indexed="64"/>
      </right>
      <top style="medium">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medium">
        <color rgb="FF000000"/>
      </left>
      <right/>
      <top/>
      <bottom/>
      <diagonal/>
    </border>
    <border>
      <left/>
      <right style="medium">
        <color rgb="FF000000"/>
      </right>
      <top/>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bottom style="medium">
        <color rgb="FF000000"/>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s>
  <cellStyleXfs count="9">
    <xf numFmtId="0" fontId="0" fillId="0" borderId="0"/>
    <xf numFmtId="0" fontId="1" fillId="2" borderId="0" applyNumberFormat="0" applyBorder="0" applyAlignment="0" applyProtection="0"/>
    <xf numFmtId="0" fontId="2" fillId="0" borderId="0" applyNumberFormat="0" applyFill="0" applyBorder="0" applyAlignment="0" applyProtection="0"/>
    <xf numFmtId="0" fontId="40" fillId="0" borderId="0"/>
    <xf numFmtId="9" fontId="85" fillId="0" borderId="0" applyFont="0" applyFill="0" applyBorder="0" applyAlignment="0" applyProtection="0"/>
    <xf numFmtId="44" fontId="85" fillId="0" borderId="0" applyFont="0" applyFill="0" applyBorder="0" applyAlignment="0" applyProtection="0"/>
    <xf numFmtId="43" fontId="85" fillId="0" borderId="0" applyFont="0" applyFill="0" applyBorder="0" applyAlignment="0" applyProtection="0"/>
    <xf numFmtId="0" fontId="103" fillId="18" borderId="0" applyNumberFormat="0" applyBorder="0" applyAlignment="0" applyProtection="0"/>
    <xf numFmtId="0" fontId="22" fillId="0" borderId="45" applyNumberFormat="0" applyFont="0" applyProtection="0">
      <alignment wrapText="1"/>
    </xf>
  </cellStyleXfs>
  <cellXfs count="1574">
    <xf numFmtId="0" fontId="0" fillId="0" borderId="0" xfId="0"/>
    <xf numFmtId="0" fontId="6" fillId="4" borderId="5" xfId="0" applyFont="1" applyFill="1" applyBorder="1"/>
    <xf numFmtId="0" fontId="6" fillId="4" borderId="6" xfId="0" applyFont="1" applyFill="1" applyBorder="1"/>
    <xf numFmtId="0" fontId="6" fillId="4" borderId="7" xfId="0" applyFont="1" applyFill="1" applyBorder="1"/>
    <xf numFmtId="0" fontId="6" fillId="4" borderId="8" xfId="0" applyFont="1" applyFill="1" applyBorder="1"/>
    <xf numFmtId="0" fontId="6" fillId="0" borderId="0" xfId="0" applyFont="1"/>
    <xf numFmtId="0" fontId="5" fillId="4" borderId="5" xfId="0" applyFont="1" applyFill="1" applyBorder="1" applyAlignment="1">
      <alignment horizontal="left" vertical="top"/>
    </xf>
    <xf numFmtId="0" fontId="14" fillId="4" borderId="4" xfId="0" applyFont="1" applyFill="1" applyBorder="1" applyAlignment="1">
      <alignment horizontal="left" vertical="top"/>
    </xf>
    <xf numFmtId="0" fontId="15" fillId="4" borderId="5" xfId="0" applyFont="1" applyFill="1" applyBorder="1" applyAlignment="1">
      <alignment vertical="top"/>
    </xf>
    <xf numFmtId="0" fontId="17" fillId="4" borderId="7" xfId="0" applyFont="1" applyFill="1" applyBorder="1"/>
    <xf numFmtId="0" fontId="16" fillId="4" borderId="5" xfId="0" applyFont="1" applyFill="1" applyBorder="1" applyAlignment="1">
      <alignment horizontal="left" vertical="top" wrapText="1" indent="1"/>
    </xf>
    <xf numFmtId="0" fontId="14" fillId="6" borderId="9" xfId="0" applyFont="1" applyFill="1" applyBorder="1" applyAlignment="1">
      <alignment vertical="top" wrapText="1"/>
    </xf>
    <xf numFmtId="0" fontId="0" fillId="4" borderId="5" xfId="0" applyFill="1" applyBorder="1"/>
    <xf numFmtId="0" fontId="14" fillId="4" borderId="9" xfId="0" applyFont="1" applyFill="1" applyBorder="1" applyAlignment="1">
      <alignment horizontal="left" vertical="top" wrapText="1"/>
    </xf>
    <xf numFmtId="0" fontId="14" fillId="4" borderId="9" xfId="0" applyFont="1" applyFill="1" applyBorder="1" applyAlignment="1">
      <alignment vertical="top" wrapText="1"/>
    </xf>
    <xf numFmtId="0" fontId="15" fillId="4" borderId="0" xfId="0" applyFont="1" applyFill="1" applyAlignment="1">
      <alignment vertical="top"/>
    </xf>
    <xf numFmtId="0" fontId="10" fillId="8" borderId="0" xfId="0" applyFont="1" applyFill="1" applyAlignment="1">
      <alignment vertical="center" wrapText="1"/>
    </xf>
    <xf numFmtId="0" fontId="6" fillId="4" borderId="0" xfId="0" applyFont="1" applyFill="1"/>
    <xf numFmtId="0" fontId="14" fillId="4" borderId="0" xfId="0" applyFont="1" applyFill="1" applyAlignment="1">
      <alignment horizontal="left" vertical="top"/>
    </xf>
    <xf numFmtId="0" fontId="6" fillId="4" borderId="9" xfId="0" applyFont="1" applyFill="1" applyBorder="1"/>
    <xf numFmtId="0" fontId="17" fillId="4" borderId="9" xfId="0" applyFont="1" applyFill="1" applyBorder="1" applyAlignment="1">
      <alignment vertical="top" wrapText="1"/>
    </xf>
    <xf numFmtId="0" fontId="17" fillId="4" borderId="0" xfId="0" applyFont="1" applyFill="1"/>
    <xf numFmtId="0" fontId="18" fillId="4" borderId="0" xfId="0" applyFont="1" applyFill="1"/>
    <xf numFmtId="0" fontId="14" fillId="4" borderId="0" xfId="0" applyFont="1" applyFill="1" applyAlignment="1">
      <alignment vertical="top"/>
    </xf>
    <xf numFmtId="0" fontId="14" fillId="4" borderId="0" xfId="0" applyFont="1" applyFill="1" applyAlignment="1">
      <alignment vertical="top" wrapText="1"/>
    </xf>
    <xf numFmtId="0" fontId="14" fillId="4" borderId="5" xfId="0" applyFont="1" applyFill="1" applyBorder="1" applyAlignment="1">
      <alignment vertical="top" wrapText="1"/>
    </xf>
    <xf numFmtId="0" fontId="17" fillId="4" borderId="5" xfId="0" applyFont="1" applyFill="1" applyBorder="1"/>
    <xf numFmtId="0" fontId="17" fillId="4" borderId="8" xfId="0" applyFont="1" applyFill="1" applyBorder="1"/>
    <xf numFmtId="0" fontId="14" fillId="4" borderId="6" xfId="0" applyFont="1" applyFill="1" applyBorder="1" applyAlignment="1">
      <alignment horizontal="left" vertical="top" wrapText="1"/>
    </xf>
    <xf numFmtId="0" fontId="14" fillId="4" borderId="5" xfId="0" applyFont="1" applyFill="1" applyBorder="1" applyAlignment="1">
      <alignment horizontal="left" vertical="center" wrapText="1"/>
    </xf>
    <xf numFmtId="0" fontId="15" fillId="4" borderId="5" xfId="0" applyFont="1" applyFill="1" applyBorder="1" applyAlignment="1">
      <alignment horizontal="left" vertical="center" wrapText="1"/>
    </xf>
    <xf numFmtId="0" fontId="20" fillId="5" borderId="0" xfId="0" applyFont="1" applyFill="1" applyAlignment="1">
      <alignment vertical="center" wrapText="1"/>
    </xf>
    <xf numFmtId="0" fontId="20" fillId="3" borderId="5" xfId="0" applyFont="1" applyFill="1" applyBorder="1" applyAlignment="1">
      <alignment vertical="center" wrapText="1"/>
    </xf>
    <xf numFmtId="0" fontId="32" fillId="4" borderId="5" xfId="0" applyFont="1" applyFill="1" applyBorder="1" applyAlignment="1">
      <alignment horizontal="left" vertical="top" wrapText="1"/>
    </xf>
    <xf numFmtId="0" fontId="6" fillId="4" borderId="3" xfId="0" applyFont="1" applyFill="1" applyBorder="1"/>
    <xf numFmtId="0" fontId="14" fillId="4" borderId="4" xfId="0" applyFont="1" applyFill="1" applyBorder="1" applyAlignment="1">
      <alignment horizontal="right" vertical="top"/>
    </xf>
    <xf numFmtId="0" fontId="14" fillId="4" borderId="7" xfId="0" applyFont="1" applyFill="1" applyBorder="1" applyAlignment="1">
      <alignment horizontal="left" vertical="top"/>
    </xf>
    <xf numFmtId="0" fontId="17" fillId="0" borderId="0" xfId="0" applyFont="1"/>
    <xf numFmtId="0" fontId="17" fillId="4" borderId="4" xfId="0" applyFont="1" applyFill="1" applyBorder="1"/>
    <xf numFmtId="0" fontId="5" fillId="4" borderId="7" xfId="0" applyFont="1" applyFill="1" applyBorder="1" applyAlignment="1">
      <alignment horizontal="left" vertical="top"/>
    </xf>
    <xf numFmtId="0" fontId="14" fillId="6" borderId="9" xfId="0" applyFont="1" applyFill="1" applyBorder="1" applyAlignment="1">
      <alignment vertical="center" wrapText="1"/>
    </xf>
    <xf numFmtId="0" fontId="14" fillId="4" borderId="0" xfId="0" applyFont="1" applyFill="1" applyAlignment="1">
      <alignment horizontal="left" vertical="center"/>
    </xf>
    <xf numFmtId="0" fontId="14" fillId="6" borderId="9" xfId="0" applyFont="1" applyFill="1" applyBorder="1" applyAlignment="1">
      <alignment horizontal="left" vertical="center" wrapText="1"/>
    </xf>
    <xf numFmtId="0" fontId="14" fillId="4" borderId="4" xfId="0" applyFont="1" applyFill="1" applyBorder="1" applyAlignment="1">
      <alignment horizontal="left" vertical="center"/>
    </xf>
    <xf numFmtId="0" fontId="0" fillId="4" borderId="0" xfId="0" applyFill="1" applyAlignment="1">
      <alignment vertical="center"/>
    </xf>
    <xf numFmtId="0" fontId="0" fillId="4" borderId="0" xfId="0" applyFill="1"/>
    <xf numFmtId="0" fontId="14" fillId="4" borderId="4" xfId="0" applyFont="1" applyFill="1" applyBorder="1" applyAlignment="1">
      <alignment horizontal="right" vertical="center"/>
    </xf>
    <xf numFmtId="0" fontId="14" fillId="4" borderId="4" xfId="0" applyFont="1" applyFill="1" applyBorder="1" applyAlignment="1">
      <alignment horizontal="right" vertical="center" wrapText="1"/>
    </xf>
    <xf numFmtId="0" fontId="0" fillId="0" borderId="4" xfId="0" applyBorder="1"/>
    <xf numFmtId="0" fontId="14" fillId="4" borderId="7" xfId="0" applyFont="1" applyFill="1" applyBorder="1" applyAlignment="1">
      <alignment horizontal="left" vertical="center"/>
    </xf>
    <xf numFmtId="0" fontId="21" fillId="0" borderId="0" xfId="0" applyFont="1"/>
    <xf numFmtId="0" fontId="13" fillId="4" borderId="5" xfId="0" applyFont="1" applyFill="1" applyBorder="1" applyAlignment="1">
      <alignment horizontal="left" vertical="top"/>
    </xf>
    <xf numFmtId="0" fontId="13" fillId="4" borderId="9"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4" borderId="9" xfId="0" applyFont="1" applyFill="1" applyBorder="1" applyAlignment="1">
      <alignment horizontal="center" wrapText="1"/>
    </xf>
    <xf numFmtId="0" fontId="0" fillId="4" borderId="4" xfId="0" applyFill="1" applyBorder="1" applyAlignment="1">
      <alignment horizontal="left"/>
    </xf>
    <xf numFmtId="0" fontId="13" fillId="4" borderId="0" xfId="0" applyFont="1" applyFill="1" applyAlignment="1">
      <alignment horizontal="center" vertical="center" wrapText="1"/>
    </xf>
    <xf numFmtId="0" fontId="14" fillId="4" borderId="0" xfId="0" applyFont="1" applyFill="1" applyAlignment="1">
      <alignment horizontal="center" wrapText="1"/>
    </xf>
    <xf numFmtId="0" fontId="14" fillId="4" borderId="0" xfId="0" applyFont="1" applyFill="1" applyAlignment="1">
      <alignment horizontal="right" vertical="center" wrapText="1"/>
    </xf>
    <xf numFmtId="165" fontId="13" fillId="4" borderId="9" xfId="0" applyNumberFormat="1" applyFont="1" applyFill="1" applyBorder="1" applyAlignment="1">
      <alignment horizontal="center" vertical="center"/>
    </xf>
    <xf numFmtId="0" fontId="14" fillId="4" borderId="2" xfId="0" applyFont="1" applyFill="1" applyBorder="1" applyAlignment="1">
      <alignment vertical="top" wrapText="1"/>
    </xf>
    <xf numFmtId="0" fontId="14" fillId="4" borderId="9" xfId="0" applyFont="1" applyFill="1" applyBorder="1" applyAlignment="1">
      <alignment vertical="center" wrapText="1"/>
    </xf>
    <xf numFmtId="0" fontId="14" fillId="4" borderId="2" xfId="0" applyFont="1" applyFill="1" applyBorder="1" applyAlignment="1">
      <alignment horizontal="right" vertical="center" wrapText="1"/>
    </xf>
    <xf numFmtId="9" fontId="14" fillId="4" borderId="2" xfId="0" applyNumberFormat="1" applyFont="1" applyFill="1" applyBorder="1" applyAlignment="1">
      <alignment horizontal="center" vertical="center"/>
    </xf>
    <xf numFmtId="0" fontId="17" fillId="4" borderId="2" xfId="0" applyFont="1" applyFill="1" applyBorder="1"/>
    <xf numFmtId="0" fontId="16" fillId="4" borderId="9" xfId="0" applyFont="1" applyFill="1" applyBorder="1" applyAlignment="1">
      <alignment horizontal="left" vertical="top" wrapText="1"/>
    </xf>
    <xf numFmtId="0" fontId="17" fillId="4" borderId="0" xfId="0" applyFont="1" applyFill="1" applyAlignment="1">
      <alignment horizontal="center"/>
    </xf>
    <xf numFmtId="0" fontId="17" fillId="4" borderId="0" xfId="0" applyFont="1" applyFill="1" applyAlignment="1">
      <alignment wrapText="1"/>
    </xf>
    <xf numFmtId="0" fontId="13" fillId="4" borderId="0" xfId="0" applyFont="1" applyFill="1" applyAlignment="1">
      <alignment horizontal="left" vertical="center"/>
    </xf>
    <xf numFmtId="9" fontId="14" fillId="4" borderId="0" xfId="0" applyNumberFormat="1" applyFont="1" applyFill="1" applyAlignment="1">
      <alignment horizontal="center" vertical="center"/>
    </xf>
    <xf numFmtId="0" fontId="14" fillId="4" borderId="0" xfId="0" applyFont="1" applyFill="1" applyAlignment="1">
      <alignment horizontal="center" vertical="center" wrapText="1"/>
    </xf>
    <xf numFmtId="0" fontId="14" fillId="4" borderId="0" xfId="0" applyFont="1" applyFill="1" applyAlignment="1">
      <alignment vertical="center" wrapText="1"/>
    </xf>
    <xf numFmtId="0" fontId="38" fillId="4" borderId="0" xfId="0" applyFont="1" applyFill="1" applyAlignment="1">
      <alignment vertical="center"/>
    </xf>
    <xf numFmtId="0" fontId="38" fillId="4" borderId="0" xfId="0" applyFont="1" applyFill="1" applyAlignment="1">
      <alignment horizontal="right" vertical="center" indent="1"/>
    </xf>
    <xf numFmtId="168" fontId="29" fillId="4" borderId="0" xfId="0" applyNumberFormat="1" applyFont="1" applyFill="1" applyAlignment="1">
      <alignment horizontal="left" vertical="center" wrapText="1"/>
    </xf>
    <xf numFmtId="167" fontId="29" fillId="4" borderId="0" xfId="1" applyNumberFormat="1" applyFont="1" applyFill="1" applyBorder="1" applyAlignment="1">
      <alignment horizontal="left" vertical="center"/>
    </xf>
    <xf numFmtId="0" fontId="17" fillId="4" borderId="2" xfId="0" applyFont="1" applyFill="1" applyBorder="1" applyAlignment="1">
      <alignment horizontal="right" vertical="center" indent="1"/>
    </xf>
    <xf numFmtId="0" fontId="14" fillId="4" borderId="5" xfId="0" applyFont="1" applyFill="1" applyBorder="1" applyAlignment="1">
      <alignment horizontal="left" vertical="center"/>
    </xf>
    <xf numFmtId="0" fontId="0" fillId="0" borderId="0" xfId="0" applyAlignment="1">
      <alignment horizontal="left" vertical="center" indent="5"/>
    </xf>
    <xf numFmtId="0" fontId="41" fillId="9" borderId="9" xfId="3" applyFont="1" applyFill="1" applyBorder="1" applyAlignment="1">
      <alignment horizontal="center" wrapText="1"/>
    </xf>
    <xf numFmtId="11" fontId="40" fillId="4" borderId="0" xfId="3" applyNumberFormat="1" applyFill="1"/>
    <xf numFmtId="0" fontId="40" fillId="6" borderId="9" xfId="3" applyFill="1" applyBorder="1"/>
    <xf numFmtId="11" fontId="40" fillId="6" borderId="9" xfId="3" applyNumberFormat="1" applyFill="1" applyBorder="1"/>
    <xf numFmtId="3" fontId="36" fillId="10" borderId="9" xfId="0" applyNumberFormat="1" applyFont="1" applyFill="1" applyBorder="1" applyAlignment="1">
      <alignment horizontal="center"/>
    </xf>
    <xf numFmtId="0" fontId="0" fillId="4" borderId="4" xfId="0" applyFill="1" applyBorder="1"/>
    <xf numFmtId="0" fontId="40" fillId="4" borderId="4" xfId="3" applyFill="1" applyBorder="1"/>
    <xf numFmtId="11" fontId="40" fillId="4" borderId="5" xfId="3" applyNumberFormat="1" applyFill="1" applyBorder="1"/>
    <xf numFmtId="0" fontId="36" fillId="4" borderId="4" xfId="0" applyFont="1" applyFill="1" applyBorder="1" applyAlignment="1">
      <alignment horizontal="right"/>
    </xf>
    <xf numFmtId="0" fontId="0" fillId="4" borderId="6" xfId="0" applyFill="1" applyBorder="1"/>
    <xf numFmtId="0" fontId="0" fillId="4" borderId="7" xfId="0" applyFill="1" applyBorder="1"/>
    <xf numFmtId="0" fontId="0" fillId="4" borderId="8" xfId="0" applyFill="1" applyBorder="1"/>
    <xf numFmtId="0" fontId="18" fillId="4" borderId="9" xfId="0" applyFont="1" applyFill="1" applyBorder="1"/>
    <xf numFmtId="0" fontId="15" fillId="4" borderId="9" xfId="0" applyFont="1" applyFill="1" applyBorder="1" applyAlignment="1">
      <alignment horizontal="center" wrapText="1"/>
    </xf>
    <xf numFmtId="0" fontId="5" fillId="4" borderId="15" xfId="0" applyFont="1" applyFill="1" applyBorder="1" applyAlignment="1">
      <alignment horizontal="left" vertical="top"/>
    </xf>
    <xf numFmtId="0" fontId="6" fillId="4" borderId="4" xfId="0" applyFont="1" applyFill="1" applyBorder="1" applyAlignment="1">
      <alignment horizontal="left"/>
    </xf>
    <xf numFmtId="0" fontId="44" fillId="4" borderId="0" xfId="0" applyFont="1" applyFill="1" applyAlignment="1">
      <alignment horizontal="center" vertical="center" wrapText="1"/>
    </xf>
    <xf numFmtId="0" fontId="0" fillId="4" borderId="2" xfId="0" applyFill="1" applyBorder="1"/>
    <xf numFmtId="0" fontId="0" fillId="4" borderId="3" xfId="0" applyFill="1" applyBorder="1"/>
    <xf numFmtId="0" fontId="18" fillId="4" borderId="4" xfId="0" applyFont="1" applyFill="1" applyBorder="1"/>
    <xf numFmtId="0" fontId="18" fillId="4" borderId="0" xfId="0" applyFont="1" applyFill="1" applyAlignment="1">
      <alignment vertical="center"/>
    </xf>
    <xf numFmtId="0" fontId="36" fillId="4" borderId="4" xfId="0" applyFont="1" applyFill="1" applyBorder="1" applyAlignment="1">
      <alignment horizontal="left" vertical="top"/>
    </xf>
    <xf numFmtId="0" fontId="18" fillId="4" borderId="9" xfId="0" applyFont="1" applyFill="1" applyBorder="1" applyAlignment="1">
      <alignment wrapText="1"/>
    </xf>
    <xf numFmtId="0" fontId="18" fillId="6" borderId="9" xfId="0" applyFont="1" applyFill="1" applyBorder="1" applyAlignment="1">
      <alignment wrapText="1"/>
    </xf>
    <xf numFmtId="171" fontId="15" fillId="6" borderId="9" xfId="0" applyNumberFormat="1" applyFont="1" applyFill="1" applyBorder="1" applyAlignment="1">
      <alignment wrapText="1"/>
    </xf>
    <xf numFmtId="3" fontId="15" fillId="6" borderId="9" xfId="0" applyNumberFormat="1" applyFont="1" applyFill="1" applyBorder="1" applyAlignment="1">
      <alignment wrapText="1"/>
    </xf>
    <xf numFmtId="171" fontId="15" fillId="4" borderId="9" xfId="0" applyNumberFormat="1" applyFont="1" applyFill="1" applyBorder="1" applyAlignment="1">
      <alignment wrapText="1"/>
    </xf>
    <xf numFmtId="0" fontId="15" fillId="6" borderId="9" xfId="0" applyFont="1" applyFill="1" applyBorder="1" applyAlignment="1">
      <alignment horizontal="left" vertical="center" wrapText="1"/>
    </xf>
    <xf numFmtId="3" fontId="14" fillId="6" borderId="9" xfId="0" applyNumberFormat="1" applyFont="1" applyFill="1" applyBorder="1" applyAlignment="1">
      <alignment vertical="center" wrapText="1"/>
    </xf>
    <xf numFmtId="167" fontId="15" fillId="4" borderId="9" xfId="0" applyNumberFormat="1" applyFont="1" applyFill="1" applyBorder="1" applyAlignment="1">
      <alignment vertical="center" wrapText="1"/>
    </xf>
    <xf numFmtId="0" fontId="21" fillId="4" borderId="0" xfId="0" applyFont="1" applyFill="1" applyAlignment="1">
      <alignment vertical="center"/>
    </xf>
    <xf numFmtId="0" fontId="0" fillId="4" borderId="0" xfId="0" applyFill="1" applyAlignment="1">
      <alignment horizontal="left"/>
    </xf>
    <xf numFmtId="0" fontId="6" fillId="4" borderId="0" xfId="0" applyFont="1" applyFill="1" applyAlignment="1">
      <alignment horizontal="left"/>
    </xf>
    <xf numFmtId="0" fontId="0" fillId="0" borderId="5" xfId="0" applyBorder="1"/>
    <xf numFmtId="0" fontId="45" fillId="4" borderId="0" xfId="0" applyFont="1" applyFill="1" applyAlignment="1">
      <alignment horizontal="right"/>
    </xf>
    <xf numFmtId="0" fontId="18" fillId="4" borderId="0" xfId="0" applyFont="1" applyFill="1" applyAlignment="1">
      <alignment horizontal="center" vertical="center"/>
    </xf>
    <xf numFmtId="0" fontId="2" fillId="4" borderId="4" xfId="2" applyFill="1" applyBorder="1" applyAlignment="1">
      <alignment vertical="center"/>
    </xf>
    <xf numFmtId="0" fontId="43" fillId="4" borderId="0" xfId="0" applyFont="1" applyFill="1" applyAlignment="1">
      <alignment vertical="center"/>
    </xf>
    <xf numFmtId="0" fontId="14" fillId="4" borderId="6" xfId="0" applyFont="1" applyFill="1" applyBorder="1" applyAlignment="1">
      <alignment horizontal="right" vertical="center"/>
    </xf>
    <xf numFmtId="0" fontId="5" fillId="4" borderId="8" xfId="0" applyFont="1" applyFill="1" applyBorder="1" applyAlignment="1">
      <alignment horizontal="left" vertical="top"/>
    </xf>
    <xf numFmtId="0" fontId="14" fillId="4" borderId="9" xfId="0" applyFont="1" applyFill="1" applyBorder="1" applyAlignment="1">
      <alignment horizontal="left" vertical="center" wrapText="1"/>
    </xf>
    <xf numFmtId="167" fontId="14" fillId="4" borderId="9" xfId="0" quotePrefix="1" applyNumberFormat="1" applyFont="1" applyFill="1" applyBorder="1" applyAlignment="1">
      <alignment horizontal="left" vertical="center" wrapText="1"/>
    </xf>
    <xf numFmtId="0" fontId="0" fillId="4" borderId="6" xfId="0" applyFill="1" applyBorder="1" applyAlignment="1">
      <alignment horizontal="left"/>
    </xf>
    <xf numFmtId="0" fontId="0" fillId="4" borderId="7" xfId="0" applyFill="1" applyBorder="1" applyAlignment="1">
      <alignment horizontal="left"/>
    </xf>
    <xf numFmtId="0" fontId="17" fillId="4" borderId="0" xfId="0" applyFont="1" applyFill="1" applyAlignment="1">
      <alignment horizontal="right" vertical="center" indent="1"/>
    </xf>
    <xf numFmtId="0" fontId="17" fillId="4" borderId="9" xfId="0" applyFont="1" applyFill="1" applyBorder="1"/>
    <xf numFmtId="0" fontId="14" fillId="4" borderId="4" xfId="0" applyFont="1" applyFill="1" applyBorder="1" applyAlignment="1">
      <alignment horizontal="right" vertical="top" wrapText="1"/>
    </xf>
    <xf numFmtId="0" fontId="17" fillId="4" borderId="9" xfId="0" applyFont="1" applyFill="1" applyBorder="1" applyAlignment="1">
      <alignment vertical="center"/>
    </xf>
    <xf numFmtId="0" fontId="14" fillId="4" borderId="7" xfId="0" applyFont="1" applyFill="1" applyBorder="1" applyAlignment="1">
      <alignment horizontal="left" vertical="top" wrapText="1"/>
    </xf>
    <xf numFmtId="0" fontId="45" fillId="4" borderId="7" xfId="0" applyFont="1" applyFill="1" applyBorder="1" applyAlignment="1">
      <alignment horizontal="right"/>
    </xf>
    <xf numFmtId="0" fontId="42" fillId="4" borderId="7" xfId="0" applyFont="1" applyFill="1" applyBorder="1"/>
    <xf numFmtId="0" fontId="17" fillId="0" borderId="9" xfId="0" applyFont="1" applyBorder="1" applyAlignment="1">
      <alignment horizontal="center" vertical="center" wrapText="1"/>
    </xf>
    <xf numFmtId="169" fontId="17" fillId="4" borderId="9" xfId="0" applyNumberFormat="1" applyFont="1" applyFill="1" applyBorder="1" applyAlignment="1">
      <alignment horizontal="center" vertical="center" wrapText="1"/>
    </xf>
    <xf numFmtId="0" fontId="14" fillId="4" borderId="4" xfId="0" applyFont="1" applyFill="1" applyBorder="1" applyAlignment="1">
      <alignment vertical="top"/>
    </xf>
    <xf numFmtId="0" fontId="6" fillId="0" borderId="0" xfId="0" applyFont="1" applyAlignment="1">
      <alignment vertical="center"/>
    </xf>
    <xf numFmtId="0" fontId="0" fillId="0" borderId="0" xfId="0" applyAlignment="1">
      <alignment vertical="center"/>
    </xf>
    <xf numFmtId="0" fontId="17" fillId="4" borderId="0" xfId="0" applyFont="1" applyFill="1" applyAlignment="1">
      <alignment horizontal="right" wrapText="1" indent="2"/>
    </xf>
    <xf numFmtId="0" fontId="17" fillId="6" borderId="9" xfId="0" applyFont="1" applyFill="1" applyBorder="1" applyAlignment="1">
      <alignment horizontal="center" wrapText="1"/>
    </xf>
    <xf numFmtId="0" fontId="47" fillId="4" borderId="4" xfId="0" applyFont="1" applyFill="1" applyBorder="1"/>
    <xf numFmtId="0" fontId="17" fillId="4" borderId="4" xfId="0" applyFont="1" applyFill="1" applyBorder="1" applyAlignment="1">
      <alignment vertical="top"/>
    </xf>
    <xf numFmtId="0" fontId="17" fillId="0" borderId="0" xfId="0" applyFont="1" applyAlignment="1">
      <alignment wrapText="1"/>
    </xf>
    <xf numFmtId="0" fontId="17" fillId="4" borderId="4" xfId="0" applyFont="1" applyFill="1" applyBorder="1" applyAlignment="1">
      <alignment horizontal="right" wrapText="1" indent="2"/>
    </xf>
    <xf numFmtId="0" fontId="17" fillId="4" borderId="6" xfId="0" applyFont="1" applyFill="1" applyBorder="1"/>
    <xf numFmtId="0" fontId="14" fillId="4" borderId="0" xfId="0" applyFont="1" applyFill="1" applyAlignment="1">
      <alignment horizontal="right" vertical="top" wrapText="1"/>
    </xf>
    <xf numFmtId="0" fontId="14" fillId="4" borderId="0" xfId="0" applyFont="1" applyFill="1" applyAlignment="1">
      <alignment horizontal="right" vertical="top"/>
    </xf>
    <xf numFmtId="0" fontId="5" fillId="4" borderId="1" xfId="0" applyFont="1" applyFill="1" applyBorder="1" applyAlignment="1">
      <alignment vertical="top"/>
    </xf>
    <xf numFmtId="0" fontId="5" fillId="4" borderId="2" xfId="0" applyFont="1" applyFill="1" applyBorder="1" applyAlignment="1">
      <alignment vertical="top"/>
    </xf>
    <xf numFmtId="0" fontId="5" fillId="4" borderId="3" xfId="0" applyFont="1" applyFill="1" applyBorder="1" applyAlignment="1">
      <alignment vertical="top"/>
    </xf>
    <xf numFmtId="0" fontId="13" fillId="4" borderId="4" xfId="0" applyFont="1" applyFill="1" applyBorder="1" applyAlignment="1">
      <alignment horizontal="left" vertical="top"/>
    </xf>
    <xf numFmtId="0" fontId="13" fillId="4" borderId="0" xfId="0" applyFont="1" applyFill="1" applyAlignment="1">
      <alignment horizontal="left" vertical="top"/>
    </xf>
    <xf numFmtId="0" fontId="13" fillId="4" borderId="0" xfId="0" applyFont="1" applyFill="1" applyAlignment="1">
      <alignment vertical="top"/>
    </xf>
    <xf numFmtId="0" fontId="21" fillId="4" borderId="0" xfId="0" applyFont="1" applyFill="1"/>
    <xf numFmtId="0" fontId="14" fillId="4" borderId="0" xfId="0" applyFont="1" applyFill="1" applyAlignment="1">
      <alignment wrapText="1"/>
    </xf>
    <xf numFmtId="4" fontId="17" fillId="4" borderId="0" xfId="0" applyNumberFormat="1" applyFont="1" applyFill="1" applyAlignment="1">
      <alignment vertical="center"/>
    </xf>
    <xf numFmtId="0" fontId="14" fillId="4" borderId="4" xfId="0" applyFont="1" applyFill="1" applyBorder="1" applyAlignment="1">
      <alignment wrapText="1"/>
    </xf>
    <xf numFmtId="4" fontId="17" fillId="4" borderId="4" xfId="0" applyNumberFormat="1" applyFont="1" applyFill="1" applyBorder="1" applyAlignment="1">
      <alignment vertical="center"/>
    </xf>
    <xf numFmtId="4" fontId="17" fillId="4" borderId="0" xfId="0" applyNumberFormat="1" applyFont="1" applyFill="1" applyAlignment="1">
      <alignment horizontal="left" vertical="center"/>
    </xf>
    <xf numFmtId="0" fontId="14" fillId="4" borderId="9" xfId="0" applyFont="1" applyFill="1" applyBorder="1" applyAlignment="1">
      <alignment horizontal="left"/>
    </xf>
    <xf numFmtId="0" fontId="9" fillId="4" borderId="0" xfId="0" applyFont="1" applyFill="1"/>
    <xf numFmtId="172" fontId="13" fillId="4" borderId="0" xfId="0" applyNumberFormat="1" applyFont="1" applyFill="1" applyAlignment="1">
      <alignment horizontal="left" vertical="center" wrapText="1"/>
    </xf>
    <xf numFmtId="171" fontId="14" fillId="4" borderId="0" xfId="0" applyNumberFormat="1" applyFont="1" applyFill="1" applyAlignment="1">
      <alignment vertical="center" wrapText="1"/>
    </xf>
    <xf numFmtId="171" fontId="14" fillId="4" borderId="0" xfId="0" applyNumberFormat="1" applyFont="1" applyFill="1" applyAlignment="1">
      <alignment horizontal="right" vertical="center"/>
    </xf>
    <xf numFmtId="0" fontId="49" fillId="4" borderId="0" xfId="0" applyFont="1" applyFill="1" applyAlignment="1">
      <alignment horizontal="left" indent="2"/>
    </xf>
    <xf numFmtId="0" fontId="50" fillId="4" borderId="0" xfId="0" applyFont="1" applyFill="1" applyAlignment="1">
      <alignment horizontal="center" wrapText="1"/>
    </xf>
    <xf numFmtId="0" fontId="14" fillId="4" borderId="10" xfId="0" applyFont="1" applyFill="1" applyBorder="1" applyAlignment="1">
      <alignment horizontal="left" wrapText="1"/>
    </xf>
    <xf numFmtId="0" fontId="14" fillId="4" borderId="10" xfId="0" applyFont="1" applyFill="1" applyBorder="1" applyAlignment="1">
      <alignment wrapText="1"/>
    </xf>
    <xf numFmtId="0" fontId="17" fillId="4" borderId="10" xfId="0" applyFont="1" applyFill="1" applyBorder="1"/>
    <xf numFmtId="0" fontId="14" fillId="4" borderId="10" xfId="0" applyFont="1" applyFill="1" applyBorder="1" applyAlignment="1">
      <alignment horizontal="center" wrapText="1"/>
    </xf>
    <xf numFmtId="0" fontId="36" fillId="4" borderId="6" xfId="0" applyFont="1" applyFill="1" applyBorder="1"/>
    <xf numFmtId="3" fontId="17" fillId="4" borderId="7" xfId="0" applyNumberFormat="1" applyFont="1" applyFill="1" applyBorder="1"/>
    <xf numFmtId="0" fontId="17" fillId="4" borderId="7" xfId="0" applyFont="1" applyFill="1" applyBorder="1" applyAlignment="1">
      <alignment horizontal="center"/>
    </xf>
    <xf numFmtId="3" fontId="17" fillId="4" borderId="0" xfId="0" applyNumberFormat="1" applyFont="1" applyFill="1"/>
    <xf numFmtId="174" fontId="17" fillId="4" borderId="0" xfId="0" applyNumberFormat="1" applyFont="1" applyFill="1" applyAlignment="1">
      <alignment horizontal="center"/>
    </xf>
    <xf numFmtId="174" fontId="17" fillId="4" borderId="7" xfId="0" applyNumberFormat="1" applyFont="1" applyFill="1" applyBorder="1" applyAlignment="1">
      <alignment horizontal="center"/>
    </xf>
    <xf numFmtId="4" fontId="17" fillId="11" borderId="12" xfId="0" applyNumberFormat="1" applyFont="1" applyFill="1" applyBorder="1"/>
    <xf numFmtId="9" fontId="17" fillId="11" borderId="9" xfId="0" applyNumberFormat="1" applyFont="1" applyFill="1" applyBorder="1" applyAlignment="1">
      <alignment horizontal="center" wrapText="1"/>
    </xf>
    <xf numFmtId="0" fontId="13" fillId="4" borderId="9" xfId="0" applyFont="1" applyFill="1" applyBorder="1" applyAlignment="1">
      <alignment horizontal="left" vertical="center"/>
    </xf>
    <xf numFmtId="0" fontId="13" fillId="7" borderId="9" xfId="0" applyFont="1" applyFill="1" applyBorder="1" applyAlignment="1">
      <alignment horizontal="left" vertical="center"/>
    </xf>
    <xf numFmtId="0" fontId="13" fillId="11" borderId="12" xfId="0" applyFont="1" applyFill="1" applyBorder="1" applyAlignment="1">
      <alignment horizontal="left" vertical="center"/>
    </xf>
    <xf numFmtId="0" fontId="2" fillId="0" borderId="0" xfId="2"/>
    <xf numFmtId="0" fontId="17" fillId="4" borderId="13" xfId="0" applyFont="1" applyFill="1" applyBorder="1"/>
    <xf numFmtId="0" fontId="21" fillId="4" borderId="4" xfId="0" applyFont="1" applyFill="1" applyBorder="1"/>
    <xf numFmtId="0" fontId="17" fillId="4" borderId="9" xfId="0" applyFont="1" applyFill="1" applyBorder="1" applyAlignment="1">
      <alignment wrapText="1"/>
    </xf>
    <xf numFmtId="0" fontId="36" fillId="4" borderId="0" xfId="0" applyFont="1" applyFill="1" applyAlignment="1">
      <alignment horizontal="right"/>
    </xf>
    <xf numFmtId="0" fontId="36" fillId="4" borderId="9" xfId="0" applyFont="1" applyFill="1" applyBorder="1" applyAlignment="1">
      <alignment vertical="center" wrapText="1"/>
    </xf>
    <xf numFmtId="0" fontId="17" fillId="12" borderId="13" xfId="0" applyFont="1" applyFill="1" applyBorder="1"/>
    <xf numFmtId="0" fontId="17" fillId="12" borderId="14" xfId="0" applyFont="1" applyFill="1" applyBorder="1"/>
    <xf numFmtId="0" fontId="17" fillId="12" borderId="15" xfId="0" applyFont="1" applyFill="1" applyBorder="1"/>
    <xf numFmtId="0" fontId="17" fillId="12" borderId="6" xfId="0" applyFont="1" applyFill="1" applyBorder="1"/>
    <xf numFmtId="0" fontId="17" fillId="12" borderId="7" xfId="0" applyFont="1" applyFill="1" applyBorder="1"/>
    <xf numFmtId="0" fontId="17" fillId="12" borderId="8" xfId="0" applyFont="1" applyFill="1" applyBorder="1"/>
    <xf numFmtId="0" fontId="17" fillId="12" borderId="9" xfId="0" applyFont="1" applyFill="1" applyBorder="1" applyAlignment="1">
      <alignment horizontal="center" vertical="center" wrapText="1"/>
    </xf>
    <xf numFmtId="9" fontId="17" fillId="12" borderId="9" xfId="0" applyNumberFormat="1" applyFont="1" applyFill="1" applyBorder="1" applyAlignment="1">
      <alignment horizontal="center" vertical="center" wrapText="1"/>
    </xf>
    <xf numFmtId="0" fontId="17" fillId="4" borderId="11" xfId="0" applyFont="1" applyFill="1" applyBorder="1"/>
    <xf numFmtId="0" fontId="17" fillId="4" borderId="12" xfId="0" applyFont="1" applyFill="1" applyBorder="1"/>
    <xf numFmtId="0" fontId="17" fillId="12" borderId="1" xfId="0" applyFont="1" applyFill="1" applyBorder="1"/>
    <xf numFmtId="0" fontId="17" fillId="12" borderId="2" xfId="0" applyFont="1" applyFill="1" applyBorder="1"/>
    <xf numFmtId="0" fontId="17" fillId="12" borderId="3" xfId="0" applyFont="1" applyFill="1" applyBorder="1"/>
    <xf numFmtId="0" fontId="17" fillId="12" borderId="7" xfId="0" applyFont="1" applyFill="1" applyBorder="1" applyAlignment="1">
      <alignment horizontal="center"/>
    </xf>
    <xf numFmtId="171" fontId="17" fillId="12" borderId="9" xfId="0" applyNumberFormat="1" applyFont="1" applyFill="1" applyBorder="1"/>
    <xf numFmtId="9" fontId="17" fillId="4" borderId="0" xfId="0" applyNumberFormat="1" applyFont="1" applyFill="1" applyAlignment="1">
      <alignment horizontal="center" vertical="center" wrapText="1"/>
    </xf>
    <xf numFmtId="175" fontId="17" fillId="12" borderId="6" xfId="0" applyNumberFormat="1" applyFont="1" applyFill="1" applyBorder="1" applyAlignment="1">
      <alignment horizontal="left"/>
    </xf>
    <xf numFmtId="0" fontId="17" fillId="4" borderId="13" xfId="0" applyFont="1" applyFill="1" applyBorder="1" applyAlignment="1">
      <alignment wrapText="1"/>
    </xf>
    <xf numFmtId="0" fontId="13" fillId="4" borderId="0" xfId="0" applyFont="1" applyFill="1" applyAlignment="1">
      <alignment horizontal="left" vertical="center" wrapText="1"/>
    </xf>
    <xf numFmtId="172" fontId="13" fillId="4" borderId="14" xfId="0" applyNumberFormat="1" applyFont="1" applyFill="1" applyBorder="1" applyAlignment="1">
      <alignment horizontal="left" vertical="center" wrapText="1"/>
    </xf>
    <xf numFmtId="171" fontId="14" fillId="4" borderId="14" xfId="0" applyNumberFormat="1" applyFont="1" applyFill="1" applyBorder="1" applyAlignment="1">
      <alignment vertical="center" wrapText="1"/>
    </xf>
    <xf numFmtId="171" fontId="14" fillId="4" borderId="15" xfId="0" applyNumberFormat="1" applyFont="1" applyFill="1" applyBorder="1" applyAlignment="1">
      <alignment horizontal="right" vertical="center"/>
    </xf>
    <xf numFmtId="0" fontId="45" fillId="4" borderId="0" xfId="0" applyFont="1" applyFill="1" applyAlignment="1">
      <alignment horizontal="right" vertical="top" wrapText="1"/>
    </xf>
    <xf numFmtId="0" fontId="0" fillId="4" borderId="0" xfId="0" applyFill="1" applyAlignment="1">
      <alignment vertical="top" wrapText="1"/>
    </xf>
    <xf numFmtId="3" fontId="17" fillId="12" borderId="6" xfId="0" applyNumberFormat="1" applyFont="1" applyFill="1" applyBorder="1" applyAlignment="1">
      <alignment horizontal="left" wrapText="1"/>
    </xf>
    <xf numFmtId="0" fontId="29" fillId="4" borderId="9" xfId="0" applyFont="1" applyFill="1" applyBorder="1" applyAlignment="1">
      <alignment horizontal="center" wrapText="1"/>
    </xf>
    <xf numFmtId="171" fontId="18" fillId="4" borderId="0" xfId="0" applyNumberFormat="1" applyFont="1" applyFill="1" applyAlignment="1">
      <alignment horizontal="center" vertical="center"/>
    </xf>
    <xf numFmtId="0" fontId="17" fillId="4" borderId="4" xfId="0" applyFont="1" applyFill="1" applyBorder="1" applyAlignment="1">
      <alignment horizontal="left" vertical="center"/>
    </xf>
    <xf numFmtId="0" fontId="17" fillId="4" borderId="0" xfId="0" applyFont="1" applyFill="1" applyAlignment="1">
      <alignment horizontal="left" vertical="top"/>
    </xf>
    <xf numFmtId="0" fontId="14" fillId="4" borderId="0" xfId="0" applyFont="1" applyFill="1" applyAlignment="1">
      <alignment horizontal="left"/>
    </xf>
    <xf numFmtId="0" fontId="9" fillId="4" borderId="9" xfId="0" applyFont="1" applyFill="1" applyBorder="1" applyAlignment="1">
      <alignment wrapText="1"/>
    </xf>
    <xf numFmtId="0" fontId="9" fillId="4" borderId="0" xfId="0" applyFont="1" applyFill="1" applyAlignment="1">
      <alignment wrapText="1"/>
    </xf>
    <xf numFmtId="0" fontId="23" fillId="4" borderId="9" xfId="0" applyFont="1" applyFill="1" applyBorder="1" applyAlignment="1">
      <alignment wrapText="1"/>
    </xf>
    <xf numFmtId="0" fontId="23" fillId="4" borderId="9" xfId="0" applyFont="1" applyFill="1" applyBorder="1"/>
    <xf numFmtId="0" fontId="23" fillId="4" borderId="15" xfId="0" applyFont="1" applyFill="1" applyBorder="1" applyAlignment="1">
      <alignment wrapText="1"/>
    </xf>
    <xf numFmtId="0" fontId="24" fillId="4" borderId="9" xfId="0" applyFont="1" applyFill="1" applyBorder="1" applyAlignment="1">
      <alignment horizontal="left" vertical="top"/>
    </xf>
    <xf numFmtId="0" fontId="22" fillId="4" borderId="9" xfId="0" applyFont="1" applyFill="1" applyBorder="1" applyAlignment="1">
      <alignment horizontal="left" vertical="top"/>
    </xf>
    <xf numFmtId="0" fontId="25" fillId="4" borderId="9" xfId="0" applyFont="1" applyFill="1" applyBorder="1"/>
    <xf numFmtId="0" fontId="22" fillId="4" borderId="9" xfId="0" applyFont="1" applyFill="1" applyBorder="1"/>
    <xf numFmtId="0" fontId="22" fillId="4" borderId="9" xfId="0" applyFont="1" applyFill="1" applyBorder="1" applyAlignment="1">
      <alignment vertical="top"/>
    </xf>
    <xf numFmtId="0" fontId="22" fillId="4" borderId="9" xfId="0" applyFont="1" applyFill="1" applyBorder="1" applyAlignment="1">
      <alignment vertical="center"/>
    </xf>
    <xf numFmtId="0" fontId="22" fillId="4" borderId="9" xfId="0" applyFont="1" applyFill="1" applyBorder="1" applyAlignment="1">
      <alignment horizontal="left" vertical="center"/>
    </xf>
    <xf numFmtId="0" fontId="28" fillId="4" borderId="9" xfId="0" applyFont="1" applyFill="1" applyBorder="1" applyAlignment="1">
      <alignment horizontal="left" vertical="top"/>
    </xf>
    <xf numFmtId="0" fontId="27" fillId="4" borderId="9" xfId="0" applyFont="1" applyFill="1" applyBorder="1" applyAlignment="1">
      <alignment vertical="top"/>
    </xf>
    <xf numFmtId="0" fontId="23" fillId="4" borderId="0" xfId="0" applyFont="1" applyFill="1"/>
    <xf numFmtId="0" fontId="30" fillId="4" borderId="9" xfId="0" applyFont="1" applyFill="1" applyBorder="1" applyAlignment="1">
      <alignment horizontal="left" vertical="center"/>
    </xf>
    <xf numFmtId="0" fontId="22" fillId="4" borderId="11" xfId="0" applyFont="1" applyFill="1" applyBorder="1" applyAlignment="1">
      <alignment horizontal="left" vertical="center"/>
    </xf>
    <xf numFmtId="3" fontId="14" fillId="6" borderId="9" xfId="0" applyNumberFormat="1" applyFont="1" applyFill="1" applyBorder="1" applyAlignment="1">
      <alignment horizontal="right" vertical="center" wrapText="1"/>
    </xf>
    <xf numFmtId="0" fontId="14" fillId="6" borderId="9" xfId="0" applyFont="1" applyFill="1" applyBorder="1" applyAlignment="1">
      <alignment horizontal="right" vertical="center" wrapText="1"/>
    </xf>
    <xf numFmtId="9" fontId="14" fillId="6" borderId="9" xfId="0" applyNumberFormat="1" applyFont="1" applyFill="1" applyBorder="1" applyAlignment="1">
      <alignment horizontal="center" vertical="center"/>
    </xf>
    <xf numFmtId="173" fontId="17" fillId="4" borderId="0" xfId="0" applyNumberFormat="1" applyFont="1" applyFill="1"/>
    <xf numFmtId="0" fontId="36" fillId="4" borderId="9" xfId="0" applyFont="1" applyFill="1" applyBorder="1"/>
    <xf numFmtId="0" fontId="49" fillId="0" borderId="0" xfId="0" applyFont="1" applyAlignment="1">
      <alignment horizontal="right"/>
    </xf>
    <xf numFmtId="166" fontId="14" fillId="6" borderId="9" xfId="0" applyNumberFormat="1" applyFont="1" applyFill="1" applyBorder="1" applyAlignment="1">
      <alignment horizontal="right" vertical="center" wrapText="1"/>
    </xf>
    <xf numFmtId="167" fontId="14" fillId="6" borderId="9" xfId="0" quotePrefix="1" applyNumberFormat="1" applyFont="1" applyFill="1" applyBorder="1" applyAlignment="1">
      <alignment horizontal="right" vertical="center" wrapText="1"/>
    </xf>
    <xf numFmtId="171" fontId="14" fillId="4" borderId="9" xfId="1" applyNumberFormat="1" applyFont="1" applyFill="1" applyBorder="1" applyAlignment="1">
      <alignment horizontal="right" vertical="center"/>
    </xf>
    <xf numFmtId="0" fontId="36" fillId="4" borderId="2" xfId="0" applyFont="1" applyFill="1" applyBorder="1" applyAlignment="1">
      <alignment horizontal="right" vertical="center"/>
    </xf>
    <xf numFmtId="171" fontId="14" fillId="4" borderId="9" xfId="0" applyNumberFormat="1" applyFont="1" applyFill="1" applyBorder="1" applyAlignment="1">
      <alignment horizontal="right" vertical="center" wrapText="1"/>
    </xf>
    <xf numFmtId="0" fontId="49" fillId="4" borderId="7" xfId="0" applyFont="1" applyFill="1" applyBorder="1" applyAlignment="1">
      <alignment horizontal="right"/>
    </xf>
    <xf numFmtId="0" fontId="22" fillId="4" borderId="4" xfId="0" applyFont="1" applyFill="1" applyBorder="1" applyAlignment="1">
      <alignment horizontal="left"/>
    </xf>
    <xf numFmtId="0" fontId="22" fillId="4" borderId="0" xfId="0" applyFont="1" applyFill="1"/>
    <xf numFmtId="0" fontId="29" fillId="4" borderId="0" xfId="0" applyFont="1" applyFill="1" applyAlignment="1">
      <alignment horizontal="left" vertical="top"/>
    </xf>
    <xf numFmtId="0" fontId="22" fillId="0" borderId="0" xfId="0" applyFont="1"/>
    <xf numFmtId="0" fontId="29" fillId="4" borderId="5" xfId="0" applyFont="1" applyFill="1" applyBorder="1" applyAlignment="1">
      <alignment horizontal="left" vertical="top"/>
    </xf>
    <xf numFmtId="167" fontId="17" fillId="4" borderId="9" xfId="0" applyNumberFormat="1" applyFont="1" applyFill="1" applyBorder="1"/>
    <xf numFmtId="170" fontId="17" fillId="4" borderId="0" xfId="0" applyNumberFormat="1" applyFont="1" applyFill="1" applyAlignment="1">
      <alignment horizontal="right"/>
    </xf>
    <xf numFmtId="3" fontId="17" fillId="6" borderId="9" xfId="0" applyNumberFormat="1" applyFont="1" applyFill="1" applyBorder="1"/>
    <xf numFmtId="167" fontId="15" fillId="4" borderId="9" xfId="0" applyNumberFormat="1" applyFont="1" applyFill="1" applyBorder="1" applyAlignment="1">
      <alignment wrapText="1"/>
    </xf>
    <xf numFmtId="171" fontId="15" fillId="4" borderId="9" xfId="0" applyNumberFormat="1" applyFont="1" applyFill="1" applyBorder="1" applyAlignment="1">
      <alignment vertical="center" wrapText="1"/>
    </xf>
    <xf numFmtId="171" fontId="17" fillId="6" borderId="9" xfId="0" applyNumberFormat="1" applyFont="1" applyFill="1" applyBorder="1" applyAlignment="1">
      <alignment vertical="center"/>
    </xf>
    <xf numFmtId="167" fontId="17" fillId="12" borderId="9" xfId="0" applyNumberFormat="1" applyFont="1" applyFill="1" applyBorder="1"/>
    <xf numFmtId="171" fontId="17" fillId="6" borderId="9" xfId="0" applyNumberFormat="1" applyFont="1" applyFill="1" applyBorder="1" applyAlignment="1">
      <alignment horizontal="right" vertical="center"/>
    </xf>
    <xf numFmtId="167" fontId="14" fillId="4" borderId="9" xfId="0" applyNumberFormat="1" applyFont="1" applyFill="1" applyBorder="1" applyAlignment="1">
      <alignment horizontal="right" vertical="center" wrapText="1"/>
    </xf>
    <xf numFmtId="167" fontId="14" fillId="4" borderId="9" xfId="1" applyNumberFormat="1" applyFont="1" applyFill="1" applyBorder="1" applyAlignment="1">
      <alignment horizontal="right" vertical="center"/>
    </xf>
    <xf numFmtId="171" fontId="17" fillId="4" borderId="9" xfId="0" applyNumberFormat="1" applyFont="1" applyFill="1" applyBorder="1" applyAlignment="1">
      <alignment horizontal="right" vertical="center"/>
    </xf>
    <xf numFmtId="167" fontId="14" fillId="4" borderId="9" xfId="0" quotePrefix="1" applyNumberFormat="1" applyFont="1" applyFill="1" applyBorder="1" applyAlignment="1">
      <alignment horizontal="right" vertical="center" wrapText="1"/>
    </xf>
    <xf numFmtId="167" fontId="14" fillId="4" borderId="9" xfId="1" applyNumberFormat="1" applyFont="1" applyFill="1" applyBorder="1" applyAlignment="1">
      <alignment vertical="center"/>
    </xf>
    <xf numFmtId="167" fontId="17" fillId="4" borderId="9" xfId="0" applyNumberFormat="1" applyFont="1" applyFill="1" applyBorder="1" applyAlignment="1">
      <alignment horizontal="right" vertical="center"/>
    </xf>
    <xf numFmtId="176" fontId="17" fillId="4" borderId="14" xfId="0" applyNumberFormat="1" applyFont="1" applyFill="1" applyBorder="1" applyAlignment="1">
      <alignment horizontal="right"/>
    </xf>
    <xf numFmtId="176" fontId="17" fillId="4" borderId="12" xfId="0" applyNumberFormat="1" applyFont="1" applyFill="1" applyBorder="1" applyAlignment="1">
      <alignment horizontal="right"/>
    </xf>
    <xf numFmtId="0" fontId="0" fillId="8" borderId="1" xfId="0" applyFill="1" applyBorder="1"/>
    <xf numFmtId="0" fontId="11" fillId="3" borderId="8" xfId="0" applyFont="1" applyFill="1" applyBorder="1" applyAlignment="1">
      <alignment horizontal="left" vertical="center" wrapText="1"/>
    </xf>
    <xf numFmtId="0" fontId="4" fillId="4" borderId="5" xfId="0" applyFont="1" applyFill="1" applyBorder="1" applyAlignment="1">
      <alignment horizontal="left" vertical="center"/>
    </xf>
    <xf numFmtId="0" fontId="6" fillId="4" borderId="5" xfId="0" applyFont="1" applyFill="1" applyBorder="1" applyAlignment="1">
      <alignment horizontal="left" vertical="top" wrapText="1" indent="2"/>
    </xf>
    <xf numFmtId="0" fontId="7" fillId="4" borderId="5" xfId="0" applyFont="1" applyFill="1" applyBorder="1" applyAlignment="1">
      <alignment horizontal="left" vertical="top" wrapText="1" indent="2"/>
    </xf>
    <xf numFmtId="0" fontId="9" fillId="4" borderId="5" xfId="0" applyFont="1" applyFill="1" applyBorder="1" applyAlignment="1">
      <alignment horizontal="left" vertical="top" wrapText="1" indent="2"/>
    </xf>
    <xf numFmtId="0" fontId="2" fillId="4" borderId="5" xfId="2" applyFill="1" applyBorder="1" applyAlignment="1">
      <alignment horizontal="left" vertical="top" wrapText="1" indent="1"/>
    </xf>
    <xf numFmtId="0" fontId="17" fillId="12" borderId="1" xfId="0" applyFont="1" applyFill="1" applyBorder="1" applyAlignment="1">
      <alignment horizontal="left" wrapText="1"/>
    </xf>
    <xf numFmtId="0" fontId="17" fillId="4" borderId="10" xfId="0" applyFont="1" applyFill="1" applyBorder="1" applyAlignment="1">
      <alignment wrapText="1"/>
    </xf>
    <xf numFmtId="0" fontId="17" fillId="12" borderId="10" xfId="0" applyFont="1" applyFill="1" applyBorder="1" applyAlignment="1">
      <alignment wrapText="1"/>
    </xf>
    <xf numFmtId="3" fontId="17" fillId="12" borderId="10" xfId="0" applyNumberFormat="1" applyFont="1" applyFill="1" applyBorder="1" applyAlignment="1">
      <alignment horizontal="left" wrapText="1"/>
    </xf>
    <xf numFmtId="0" fontId="17" fillId="4" borderId="5" xfId="0" applyFont="1" applyFill="1" applyBorder="1" applyAlignment="1">
      <alignment horizontal="right"/>
    </xf>
    <xf numFmtId="0" fontId="17" fillId="4" borderId="15" xfId="0" applyFont="1" applyFill="1" applyBorder="1"/>
    <xf numFmtId="0" fontId="0" fillId="4" borderId="11" xfId="0" applyFill="1" applyBorder="1"/>
    <xf numFmtId="0" fontId="36" fillId="4" borderId="15" xfId="0" applyFont="1" applyFill="1" applyBorder="1"/>
    <xf numFmtId="3" fontId="17" fillId="12" borderId="12" xfId="0" applyNumberFormat="1" applyFont="1" applyFill="1" applyBorder="1" applyAlignment="1">
      <alignment horizontal="left" wrapText="1"/>
    </xf>
    <xf numFmtId="3" fontId="17" fillId="12" borderId="1" xfId="0" applyNumberFormat="1" applyFont="1" applyFill="1" applyBorder="1" applyAlignment="1">
      <alignment horizontal="left" wrapText="1"/>
    </xf>
    <xf numFmtId="171" fontId="17" fillId="13" borderId="9" xfId="0" applyNumberFormat="1" applyFont="1" applyFill="1" applyBorder="1"/>
    <xf numFmtId="0" fontId="14" fillId="4" borderId="2" xfId="0" applyFont="1" applyFill="1" applyBorder="1" applyAlignment="1">
      <alignment vertical="top"/>
    </xf>
    <xf numFmtId="167" fontId="17" fillId="13" borderId="9" xfId="0" applyNumberFormat="1" applyFont="1" applyFill="1" applyBorder="1"/>
    <xf numFmtId="0" fontId="17" fillId="4" borderId="0" xfId="0" applyFont="1" applyFill="1" applyAlignment="1">
      <alignment vertical="top"/>
    </xf>
    <xf numFmtId="0" fontId="0" fillId="0" borderId="13" xfId="0" applyBorder="1"/>
    <xf numFmtId="0" fontId="14" fillId="4" borderId="15" xfId="0" applyFont="1" applyFill="1" applyBorder="1" applyAlignment="1">
      <alignment horizontal="left" vertical="top" wrapText="1"/>
    </xf>
    <xf numFmtId="3" fontId="17" fillId="12" borderId="6" xfId="0" applyNumberFormat="1" applyFont="1" applyFill="1" applyBorder="1" applyAlignment="1">
      <alignment horizontal="left"/>
    </xf>
    <xf numFmtId="3" fontId="17" fillId="12" borderId="6" xfId="0" applyNumberFormat="1" applyFont="1" applyFill="1" applyBorder="1" applyAlignment="1">
      <alignment horizontal="left" vertical="center"/>
    </xf>
    <xf numFmtId="0" fontId="17" fillId="12" borderId="7" xfId="0" applyFont="1" applyFill="1" applyBorder="1" applyAlignment="1">
      <alignment vertical="center"/>
    </xf>
    <xf numFmtId="0" fontId="56" fillId="4" borderId="0" xfId="0" applyFont="1" applyFill="1" applyAlignment="1">
      <alignment horizontal="left" vertical="center"/>
    </xf>
    <xf numFmtId="0" fontId="17" fillId="4" borderId="0" xfId="0" applyFont="1" applyFill="1" applyAlignment="1">
      <alignment horizontal="right" vertical="center" wrapText="1"/>
    </xf>
    <xf numFmtId="171" fontId="36" fillId="4" borderId="0" xfId="0" applyNumberFormat="1" applyFont="1" applyFill="1" applyAlignment="1">
      <alignment horizontal="center" vertical="center"/>
    </xf>
    <xf numFmtId="0" fontId="17" fillId="4" borderId="4" xfId="0" applyFont="1" applyFill="1" applyBorder="1" applyAlignment="1">
      <alignment horizontal="left" vertical="top"/>
    </xf>
    <xf numFmtId="168" fontId="17" fillId="4" borderId="0" xfId="0" applyNumberFormat="1" applyFont="1" applyFill="1"/>
    <xf numFmtId="0" fontId="36" fillId="4" borderId="0" xfId="0" applyFont="1" applyFill="1" applyAlignment="1">
      <alignment horizontal="left" vertical="top"/>
    </xf>
    <xf numFmtId="0" fontId="17" fillId="0" borderId="9" xfId="0" applyFont="1" applyBorder="1"/>
    <xf numFmtId="171" fontId="56" fillId="4" borderId="0" xfId="0" applyNumberFormat="1" applyFont="1" applyFill="1" applyAlignment="1">
      <alignment horizontal="right" vertical="top" wrapText="1"/>
    </xf>
    <xf numFmtId="9" fontId="56" fillId="4" borderId="0" xfId="0" applyNumberFormat="1" applyFont="1" applyFill="1" applyAlignment="1">
      <alignment horizontal="right" vertical="top" wrapText="1"/>
    </xf>
    <xf numFmtId="0" fontId="57" fillId="4" borderId="0" xfId="0" applyFont="1" applyFill="1" applyAlignment="1">
      <alignment vertical="top"/>
    </xf>
    <xf numFmtId="0" fontId="52" fillId="4" borderId="0" xfId="0" applyFont="1" applyFill="1"/>
    <xf numFmtId="0" fontId="13" fillId="4" borderId="4" xfId="0" applyFont="1" applyFill="1" applyBorder="1" applyAlignment="1">
      <alignment vertical="top"/>
    </xf>
    <xf numFmtId="0" fontId="17" fillId="4" borderId="4" xfId="0" applyFont="1" applyFill="1" applyBorder="1" applyAlignment="1">
      <alignment horizontal="right"/>
    </xf>
    <xf numFmtId="0" fontId="54" fillId="4" borderId="4" xfId="0" applyFont="1" applyFill="1" applyBorder="1" applyAlignment="1">
      <alignment horizontal="right" vertical="top" wrapText="1"/>
    </xf>
    <xf numFmtId="0" fontId="14" fillId="4" borderId="4" xfId="0" applyFont="1" applyFill="1" applyBorder="1" applyAlignment="1">
      <alignment vertical="top" wrapText="1"/>
    </xf>
    <xf numFmtId="0" fontId="0" fillId="0" borderId="7" xfId="0" applyBorder="1"/>
    <xf numFmtId="0" fontId="17" fillId="4" borderId="3" xfId="0" applyFont="1" applyFill="1" applyBorder="1"/>
    <xf numFmtId="0" fontId="58" fillId="4" borderId="0" xfId="0" applyFont="1" applyFill="1" applyAlignment="1">
      <alignment vertical="top"/>
    </xf>
    <xf numFmtId="0" fontId="0" fillId="5" borderId="6" xfId="0" applyFill="1" applyBorder="1"/>
    <xf numFmtId="0" fontId="5" fillId="14" borderId="4" xfId="0" applyFont="1" applyFill="1" applyBorder="1" applyAlignment="1">
      <alignment horizontal="left" vertical="top"/>
    </xf>
    <xf numFmtId="0" fontId="5" fillId="14" borderId="0" xfId="0" applyFont="1" applyFill="1" applyAlignment="1">
      <alignment horizontal="left" vertical="top"/>
    </xf>
    <xf numFmtId="0" fontId="5" fillId="14" borderId="5" xfId="0" applyFont="1" applyFill="1" applyBorder="1" applyAlignment="1">
      <alignment horizontal="left" vertical="top"/>
    </xf>
    <xf numFmtId="0" fontId="0" fillId="14" borderId="4" xfId="0" applyFill="1" applyBorder="1"/>
    <xf numFmtId="0" fontId="5" fillId="14" borderId="0" xfId="0" applyFont="1" applyFill="1" applyAlignment="1">
      <alignment vertical="top" wrapText="1"/>
    </xf>
    <xf numFmtId="0" fontId="0" fillId="14" borderId="5" xfId="0" applyFill="1" applyBorder="1"/>
    <xf numFmtId="0" fontId="0" fillId="14" borderId="0" xfId="0" applyFill="1"/>
    <xf numFmtId="0" fontId="0" fillId="14" borderId="6" xfId="0" applyFill="1" applyBorder="1"/>
    <xf numFmtId="0" fontId="0" fillId="14" borderId="8" xfId="0" applyFill="1" applyBorder="1"/>
    <xf numFmtId="0" fontId="0" fillId="14" borderId="7" xfId="0" applyFill="1" applyBorder="1"/>
    <xf numFmtId="0" fontId="54" fillId="4" borderId="10" xfId="0" applyFont="1" applyFill="1" applyBorder="1" applyAlignment="1">
      <alignment horizontal="center" vertical="center" wrapText="1"/>
    </xf>
    <xf numFmtId="0" fontId="7" fillId="14" borderId="0" xfId="0" applyFont="1" applyFill="1" applyAlignment="1">
      <alignment horizontal="left"/>
    </xf>
    <xf numFmtId="0" fontId="56" fillId="14" borderId="0" xfId="0" applyFont="1" applyFill="1" applyAlignment="1">
      <alignment horizontal="left" vertical="center" wrapText="1"/>
    </xf>
    <xf numFmtId="0" fontId="60" fillId="0" borderId="0" xfId="0" applyFont="1"/>
    <xf numFmtId="0" fontId="61" fillId="4" borderId="0" xfId="0" applyFont="1" applyFill="1"/>
    <xf numFmtId="0" fontId="64" fillId="14" borderId="0" xfId="0" applyFont="1" applyFill="1" applyAlignment="1">
      <alignment horizontal="center" vertical="top"/>
    </xf>
    <xf numFmtId="0" fontId="65" fillId="14" borderId="0" xfId="0" applyFont="1" applyFill="1"/>
    <xf numFmtId="0" fontId="6" fillId="14" borderId="0" xfId="0" applyFont="1" applyFill="1"/>
    <xf numFmtId="0" fontId="17" fillId="4" borderId="15" xfId="0" applyFont="1" applyFill="1" applyBorder="1" applyAlignment="1">
      <alignment horizontal="right"/>
    </xf>
    <xf numFmtId="0" fontId="17" fillId="4" borderId="13" xfId="0" applyFont="1" applyFill="1" applyBorder="1" applyAlignment="1">
      <alignment horizontal="right"/>
    </xf>
    <xf numFmtId="0" fontId="17" fillId="4" borderId="1" xfId="0" applyFont="1" applyFill="1" applyBorder="1" applyAlignment="1">
      <alignment horizontal="right" wrapText="1"/>
    </xf>
    <xf numFmtId="0" fontId="17" fillId="4" borderId="4" xfId="0" applyFont="1" applyFill="1" applyBorder="1" applyAlignment="1">
      <alignment horizontal="right" wrapText="1"/>
    </xf>
    <xf numFmtId="0" fontId="17" fillId="4" borderId="6" xfId="0" applyFont="1" applyFill="1" applyBorder="1" applyAlignment="1">
      <alignment horizontal="right" wrapText="1"/>
    </xf>
    <xf numFmtId="0" fontId="17" fillId="4" borderId="13" xfId="0" applyFont="1" applyFill="1" applyBorder="1" applyAlignment="1">
      <alignment horizontal="right" wrapText="1"/>
    </xf>
    <xf numFmtId="0" fontId="17" fillId="4" borderId="1" xfId="0" applyFont="1" applyFill="1" applyBorder="1" applyAlignment="1">
      <alignment horizontal="right"/>
    </xf>
    <xf numFmtId="0" fontId="17" fillId="4" borderId="3" xfId="0" applyFont="1" applyFill="1" applyBorder="1" applyAlignment="1">
      <alignment horizontal="right"/>
    </xf>
    <xf numFmtId="167" fontId="17" fillId="4" borderId="3" xfId="0" applyNumberFormat="1" applyFont="1" applyFill="1" applyBorder="1" applyAlignment="1">
      <alignment horizontal="right"/>
    </xf>
    <xf numFmtId="167" fontId="17" fillId="4" borderId="5" xfId="0" applyNumberFormat="1" applyFont="1" applyFill="1" applyBorder="1" applyAlignment="1">
      <alignment horizontal="right"/>
    </xf>
    <xf numFmtId="0" fontId="17" fillId="14" borderId="0" xfId="0" applyFont="1" applyFill="1" applyAlignment="1">
      <alignment horizontal="right" wrapText="1"/>
    </xf>
    <xf numFmtId="176" fontId="17" fillId="14" borderId="0" xfId="0" applyNumberFormat="1" applyFont="1" applyFill="1" applyAlignment="1">
      <alignment horizontal="right"/>
    </xf>
    <xf numFmtId="0" fontId="9" fillId="14" borderId="0" xfId="0" applyFont="1" applyFill="1"/>
    <xf numFmtId="167" fontId="65" fillId="14" borderId="0" xfId="0" applyNumberFormat="1" applyFont="1" applyFill="1"/>
    <xf numFmtId="178" fontId="65" fillId="14" borderId="0" xfId="0" applyNumberFormat="1" applyFont="1" applyFill="1"/>
    <xf numFmtId="173" fontId="65" fillId="14" borderId="0" xfId="0" applyNumberFormat="1" applyFont="1" applyFill="1" applyAlignment="1">
      <alignment horizontal="right" vertical="top"/>
    </xf>
    <xf numFmtId="0" fontId="65" fillId="14" borderId="0" xfId="0" applyFont="1" applyFill="1" applyAlignment="1">
      <alignment vertical="top"/>
    </xf>
    <xf numFmtId="0" fontId="65" fillId="14" borderId="0" xfId="0" applyFont="1" applyFill="1" applyAlignment="1">
      <alignment vertical="top" wrapText="1"/>
    </xf>
    <xf numFmtId="0" fontId="0" fillId="14" borderId="0" xfId="0" applyFill="1" applyAlignment="1">
      <alignment vertical="top"/>
    </xf>
    <xf numFmtId="0" fontId="66" fillId="14" borderId="0" xfId="0" applyFont="1" applyFill="1" applyAlignment="1">
      <alignment horizontal="left"/>
    </xf>
    <xf numFmtId="0" fontId="17" fillId="14" borderId="7" xfId="0" applyFont="1" applyFill="1" applyBorder="1" applyAlignment="1">
      <alignment horizontal="right" wrapText="1"/>
    </xf>
    <xf numFmtId="176" fontId="17" fillId="14" borderId="7" xfId="0" applyNumberFormat="1" applyFont="1" applyFill="1" applyBorder="1" applyAlignment="1">
      <alignment horizontal="right"/>
    </xf>
    <xf numFmtId="0" fontId="51" fillId="4" borderId="0" xfId="0" applyFont="1" applyFill="1"/>
    <xf numFmtId="179" fontId="17" fillId="4" borderId="3" xfId="0" applyNumberFormat="1" applyFont="1" applyFill="1" applyBorder="1" applyAlignment="1">
      <alignment horizontal="right"/>
    </xf>
    <xf numFmtId="179" fontId="17" fillId="4" borderId="5" xfId="0" applyNumberFormat="1" applyFont="1" applyFill="1" applyBorder="1" applyAlignment="1">
      <alignment horizontal="right"/>
    </xf>
    <xf numFmtId="179" fontId="17" fillId="4" borderId="15" xfId="0" applyNumberFormat="1" applyFont="1" applyFill="1" applyBorder="1" applyAlignment="1">
      <alignment horizontal="right"/>
    </xf>
    <xf numFmtId="178" fontId="17" fillId="12" borderId="9" xfId="0" applyNumberFormat="1" applyFont="1" applyFill="1" applyBorder="1"/>
    <xf numFmtId="178" fontId="0" fillId="12" borderId="9" xfId="0" applyNumberFormat="1" applyFill="1" applyBorder="1"/>
    <xf numFmtId="178" fontId="0" fillId="13" borderId="9" xfId="0" applyNumberFormat="1" applyFill="1" applyBorder="1"/>
    <xf numFmtId="0" fontId="47" fillId="14" borderId="0" xfId="0" applyFont="1" applyFill="1" applyAlignment="1">
      <alignment horizontal="right" wrapText="1"/>
    </xf>
    <xf numFmtId="0" fontId="61" fillId="0" borderId="0" xfId="0" applyFont="1"/>
    <xf numFmtId="0" fontId="63" fillId="0" borderId="0" xfId="0" applyFont="1"/>
    <xf numFmtId="0" fontId="52" fillId="0" borderId="0" xfId="0" applyFont="1"/>
    <xf numFmtId="0" fontId="14" fillId="12" borderId="11" xfId="0" applyFont="1" applyFill="1" applyBorder="1" applyAlignment="1">
      <alignment horizontal="center" vertical="center" wrapText="1"/>
    </xf>
    <xf numFmtId="0" fontId="13" fillId="14" borderId="0" xfId="0" applyFont="1" applyFill="1" applyAlignment="1">
      <alignment horizontal="left" vertical="top"/>
    </xf>
    <xf numFmtId="0" fontId="21" fillId="14" borderId="4" xfId="0" applyFont="1" applyFill="1" applyBorder="1"/>
    <xf numFmtId="167" fontId="14" fillId="4" borderId="11" xfId="0" applyNumberFormat="1" applyFont="1" applyFill="1" applyBorder="1" applyAlignment="1">
      <alignment horizontal="center" vertical="center" wrapText="1"/>
    </xf>
    <xf numFmtId="171" fontId="14" fillId="4" borderId="11" xfId="0" applyNumberFormat="1" applyFont="1" applyFill="1" applyBorder="1" applyAlignment="1">
      <alignment horizontal="center" vertical="center" wrapText="1"/>
    </xf>
    <xf numFmtId="0" fontId="13" fillId="14" borderId="5" xfId="0" applyFont="1" applyFill="1" applyBorder="1" applyAlignment="1">
      <alignment horizontal="left" vertical="top"/>
    </xf>
    <xf numFmtId="0" fontId="62" fillId="4" borderId="0" xfId="0" applyFont="1" applyFill="1"/>
    <xf numFmtId="0" fontId="62" fillId="0" borderId="0" xfId="0" applyFont="1"/>
    <xf numFmtId="0" fontId="67" fillId="0" borderId="0" xfId="0" applyFont="1"/>
    <xf numFmtId="180" fontId="65" fillId="14" borderId="0" xfId="0" applyNumberFormat="1" applyFont="1" applyFill="1"/>
    <xf numFmtId="181" fontId="17" fillId="4" borderId="3" xfId="0" applyNumberFormat="1" applyFont="1" applyFill="1" applyBorder="1" applyAlignment="1">
      <alignment horizontal="right"/>
    </xf>
    <xf numFmtId="181" fontId="17" fillId="4" borderId="5" xfId="0" applyNumberFormat="1" applyFont="1" applyFill="1" applyBorder="1" applyAlignment="1">
      <alignment horizontal="right"/>
    </xf>
    <xf numFmtId="181" fontId="17" fillId="4" borderId="15" xfId="0" applyNumberFormat="1" applyFont="1" applyFill="1" applyBorder="1"/>
    <xf numFmtId="182" fontId="14" fillId="4" borderId="9" xfId="0" applyNumberFormat="1" applyFont="1" applyFill="1" applyBorder="1" applyAlignment="1">
      <alignment horizontal="right" vertical="center" wrapText="1"/>
    </xf>
    <xf numFmtId="0" fontId="2" fillId="4" borderId="0" xfId="2" applyFill="1" applyBorder="1" applyAlignment="1">
      <alignment horizontal="center" vertical="top" wrapText="1"/>
    </xf>
    <xf numFmtId="0" fontId="2" fillId="4" borderId="5" xfId="2" applyFill="1" applyBorder="1" applyAlignment="1">
      <alignment horizontal="center" vertical="top" wrapText="1"/>
    </xf>
    <xf numFmtId="3" fontId="17" fillId="4" borderId="9" xfId="0" applyNumberFormat="1" applyFont="1" applyFill="1" applyBorder="1"/>
    <xf numFmtId="177" fontId="17" fillId="4" borderId="0" xfId="0" applyNumberFormat="1" applyFont="1" applyFill="1"/>
    <xf numFmtId="0" fontId="17" fillId="4" borderId="0" xfId="0" applyFont="1" applyFill="1" applyAlignment="1">
      <alignment horizontal="left" vertical="center"/>
    </xf>
    <xf numFmtId="177" fontId="17" fillId="4" borderId="9" xfId="0" applyNumberFormat="1" applyFont="1" applyFill="1" applyBorder="1"/>
    <xf numFmtId="178" fontId="14" fillId="4" borderId="9" xfId="0" applyNumberFormat="1" applyFont="1" applyFill="1" applyBorder="1" applyAlignment="1">
      <alignment horizontal="right" vertical="center" wrapText="1"/>
    </xf>
    <xf numFmtId="0" fontId="37" fillId="4" borderId="0" xfId="0" applyFont="1" applyFill="1" applyAlignment="1">
      <alignment horizontal="left" indent="3"/>
    </xf>
    <xf numFmtId="0" fontId="17" fillId="11" borderId="9" xfId="0" applyFont="1" applyFill="1" applyBorder="1" applyAlignment="1">
      <alignment horizontal="center"/>
    </xf>
    <xf numFmtId="4" fontId="36" fillId="10" borderId="9" xfId="0" applyNumberFormat="1" applyFont="1" applyFill="1" applyBorder="1" applyAlignment="1">
      <alignment horizontal="center"/>
    </xf>
    <xf numFmtId="183" fontId="14" fillId="6" borderId="9" xfId="0" applyNumberFormat="1" applyFont="1" applyFill="1" applyBorder="1" applyAlignment="1">
      <alignment horizontal="right" vertical="center" wrapText="1"/>
    </xf>
    <xf numFmtId="0" fontId="14" fillId="4" borderId="0" xfId="0" applyFont="1" applyFill="1"/>
    <xf numFmtId="0" fontId="14" fillId="4" borderId="0" xfId="0" applyFont="1" applyFill="1" applyAlignment="1">
      <alignment horizontal="right"/>
    </xf>
    <xf numFmtId="0" fontId="60" fillId="4" borderId="0" xfId="0" applyFont="1" applyFill="1"/>
    <xf numFmtId="0" fontId="14" fillId="4" borderId="9" xfId="0" applyFont="1" applyFill="1" applyBorder="1" applyAlignment="1">
      <alignment wrapText="1"/>
    </xf>
    <xf numFmtId="3" fontId="14" fillId="4" borderId="0" xfId="0" applyNumberFormat="1" applyFont="1" applyFill="1" applyAlignment="1">
      <alignment horizontal="right" vertical="center" wrapText="1"/>
    </xf>
    <xf numFmtId="176" fontId="17" fillId="0" borderId="9" xfId="0" applyNumberFormat="1" applyFont="1" applyBorder="1" applyAlignment="1">
      <alignment horizontal="right"/>
    </xf>
    <xf numFmtId="182" fontId="17" fillId="4" borderId="14" xfId="0" applyNumberFormat="1" applyFont="1" applyFill="1" applyBorder="1" applyAlignment="1">
      <alignment horizontal="right"/>
    </xf>
    <xf numFmtId="0" fontId="0" fillId="12" borderId="0" xfId="0" applyFill="1"/>
    <xf numFmtId="0" fontId="17" fillId="12" borderId="4" xfId="0" applyFont="1" applyFill="1" applyBorder="1" applyAlignment="1">
      <alignment horizontal="left" wrapText="1"/>
    </xf>
    <xf numFmtId="0" fontId="0" fillId="12" borderId="3" xfId="0" applyFill="1" applyBorder="1"/>
    <xf numFmtId="0" fontId="0" fillId="12" borderId="8" xfId="0" applyFill="1" applyBorder="1"/>
    <xf numFmtId="182" fontId="17" fillId="12" borderId="9" xfId="0" applyNumberFormat="1" applyFont="1" applyFill="1" applyBorder="1"/>
    <xf numFmtId="182" fontId="0" fillId="12" borderId="9" xfId="0" applyNumberFormat="1" applyFill="1" applyBorder="1"/>
    <xf numFmtId="182" fontId="0" fillId="13" borderId="9" xfId="0" applyNumberFormat="1" applyFill="1" applyBorder="1"/>
    <xf numFmtId="0" fontId="17" fillId="12" borderId="11" xfId="0" applyFont="1" applyFill="1" applyBorder="1" applyAlignment="1">
      <alignment wrapText="1"/>
    </xf>
    <xf numFmtId="0" fontId="0" fillId="12" borderId="2" xfId="0" applyFill="1" applyBorder="1"/>
    <xf numFmtId="0" fontId="0" fillId="12" borderId="7" xfId="0" applyFill="1" applyBorder="1"/>
    <xf numFmtId="0" fontId="17" fillId="12" borderId="13" xfId="0" applyFont="1" applyFill="1" applyBorder="1" applyAlignment="1">
      <alignment wrapText="1"/>
    </xf>
    <xf numFmtId="0" fontId="0" fillId="12" borderId="15" xfId="0" applyFill="1" applyBorder="1"/>
    <xf numFmtId="0" fontId="17" fillId="12" borderId="13" xfId="0" applyFont="1" applyFill="1" applyBorder="1" applyAlignment="1">
      <alignment horizontal="left" wrapText="1"/>
    </xf>
    <xf numFmtId="0" fontId="0" fillId="12" borderId="10" xfId="0" applyFill="1" applyBorder="1"/>
    <xf numFmtId="0" fontId="0" fillId="12" borderId="12" xfId="0" applyFill="1" applyBorder="1"/>
    <xf numFmtId="0" fontId="73" fillId="4" borderId="4" xfId="0" applyFont="1" applyFill="1" applyBorder="1" applyAlignment="1">
      <alignment horizontal="right" vertical="top" wrapText="1"/>
    </xf>
    <xf numFmtId="182" fontId="65" fillId="14" borderId="0" xfId="0" applyNumberFormat="1" applyFont="1" applyFill="1"/>
    <xf numFmtId="171" fontId="17" fillId="14" borderId="0" xfId="0" applyNumberFormat="1" applyFont="1" applyFill="1"/>
    <xf numFmtId="0" fontId="66" fillId="14" borderId="7" xfId="0" applyFont="1" applyFill="1" applyBorder="1" applyAlignment="1">
      <alignment horizontal="left"/>
    </xf>
    <xf numFmtId="185" fontId="17" fillId="4" borderId="9" xfId="0" applyNumberFormat="1" applyFont="1" applyFill="1" applyBorder="1" applyAlignment="1">
      <alignment horizontal="right"/>
    </xf>
    <xf numFmtId="182" fontId="17" fillId="4" borderId="3" xfId="0" applyNumberFormat="1" applyFont="1" applyFill="1" applyBorder="1" applyAlignment="1">
      <alignment horizontal="right"/>
    </xf>
    <xf numFmtId="182" fontId="17" fillId="4" borderId="8" xfId="0" applyNumberFormat="1" applyFont="1" applyFill="1" applyBorder="1" applyAlignment="1">
      <alignment horizontal="right"/>
    </xf>
    <xf numFmtId="181" fontId="17" fillId="14" borderId="0" xfId="0" applyNumberFormat="1" applyFont="1" applyFill="1"/>
    <xf numFmtId="182" fontId="14" fillId="4" borderId="11" xfId="0" applyNumberFormat="1" applyFont="1" applyFill="1" applyBorder="1" applyAlignment="1">
      <alignment horizontal="center" vertical="center" wrapText="1"/>
    </xf>
    <xf numFmtId="185" fontId="17" fillId="4" borderId="15" xfId="0" applyNumberFormat="1" applyFont="1" applyFill="1" applyBorder="1" applyAlignment="1">
      <alignment horizontal="right"/>
    </xf>
    <xf numFmtId="0" fontId="14" fillId="4" borderId="9" xfId="0" applyFont="1" applyFill="1" applyBorder="1" applyAlignment="1">
      <alignment horizontal="center" vertical="center" wrapText="1"/>
    </xf>
    <xf numFmtId="3" fontId="17" fillId="4" borderId="9" xfId="0" applyNumberFormat="1" applyFont="1" applyFill="1" applyBorder="1" applyAlignment="1">
      <alignment horizontal="right"/>
    </xf>
    <xf numFmtId="3" fontId="14" fillId="4" borderId="9" xfId="0" applyNumberFormat="1" applyFont="1" applyFill="1" applyBorder="1" applyAlignment="1">
      <alignment horizontal="right" vertical="top" wrapText="1"/>
    </xf>
    <xf numFmtId="173" fontId="14" fillId="4" borderId="9" xfId="0" applyNumberFormat="1" applyFont="1" applyFill="1" applyBorder="1" applyAlignment="1">
      <alignment horizontal="right" vertical="top" wrapText="1"/>
    </xf>
    <xf numFmtId="4" fontId="17" fillId="4" borderId="9" xfId="0" applyNumberFormat="1" applyFont="1" applyFill="1" applyBorder="1"/>
    <xf numFmtId="4" fontId="0" fillId="4" borderId="9" xfId="0" applyNumberFormat="1" applyFill="1" applyBorder="1" applyAlignment="1">
      <alignment horizontal="right"/>
    </xf>
    <xf numFmtId="173" fontId="17" fillId="4" borderId="0" xfId="0" applyNumberFormat="1" applyFont="1" applyFill="1" applyAlignment="1">
      <alignment horizontal="right"/>
    </xf>
    <xf numFmtId="3" fontId="17" fillId="4" borderId="2" xfId="0" applyNumberFormat="1" applyFont="1" applyFill="1" applyBorder="1" applyAlignment="1">
      <alignment horizontal="right"/>
    </xf>
    <xf numFmtId="2" fontId="17" fillId="0" borderId="0" xfId="0" applyNumberFormat="1" applyFont="1" applyAlignment="1">
      <alignment horizontal="right"/>
    </xf>
    <xf numFmtId="183" fontId="17" fillId="4" borderId="0" xfId="0" applyNumberFormat="1" applyFont="1" applyFill="1"/>
    <xf numFmtId="183" fontId="17" fillId="4" borderId="9" xfId="0" applyNumberFormat="1" applyFont="1" applyFill="1" applyBorder="1"/>
    <xf numFmtId="3" fontId="17" fillId="4" borderId="9" xfId="0" applyNumberFormat="1" applyFont="1" applyFill="1" applyBorder="1" applyAlignment="1">
      <alignment wrapText="1"/>
    </xf>
    <xf numFmtId="0" fontId="14" fillId="4" borderId="12" xfId="0" applyFont="1" applyFill="1" applyBorder="1"/>
    <xf numFmtId="4" fontId="14" fillId="4" borderId="0" xfId="0" applyNumberFormat="1" applyFont="1" applyFill="1"/>
    <xf numFmtId="3" fontId="14" fillId="4" borderId="0" xfId="0" applyNumberFormat="1" applyFont="1" applyFill="1"/>
    <xf numFmtId="183" fontId="14" fillId="4" borderId="0" xfId="0" applyNumberFormat="1" applyFont="1" applyFill="1"/>
    <xf numFmtId="167" fontId="14" fillId="4" borderId="0" xfId="0" applyNumberFormat="1" applyFont="1" applyFill="1"/>
    <xf numFmtId="167" fontId="17" fillId="4" borderId="0" xfId="0" applyNumberFormat="1" applyFont="1" applyFill="1"/>
    <xf numFmtId="3" fontId="13" fillId="4" borderId="0" xfId="0" applyNumberFormat="1" applyFont="1" applyFill="1"/>
    <xf numFmtId="183" fontId="13" fillId="4" borderId="0" xfId="0" applyNumberFormat="1" applyFont="1" applyFill="1" applyAlignment="1">
      <alignment horizontal="right"/>
    </xf>
    <xf numFmtId="3" fontId="2" fillId="4" borderId="0" xfId="2" applyNumberFormat="1" applyFill="1" applyBorder="1" applyAlignment="1">
      <alignment horizontal="center" vertical="top" wrapText="1"/>
    </xf>
    <xf numFmtId="0" fontId="14" fillId="4" borderId="9" xfId="0" applyFont="1" applyFill="1" applyBorder="1" applyAlignment="1">
      <alignment horizontal="left" wrapText="1"/>
    </xf>
    <xf numFmtId="0" fontId="17" fillId="4" borderId="9" xfId="0" applyFont="1" applyFill="1" applyBorder="1" applyAlignment="1">
      <alignment horizontal="left" vertical="center" wrapText="1"/>
    </xf>
    <xf numFmtId="0" fontId="11" fillId="3" borderId="0" xfId="0" applyFont="1" applyFill="1" applyAlignment="1">
      <alignment vertical="center" wrapText="1"/>
    </xf>
    <xf numFmtId="0" fontId="48" fillId="4" borderId="0" xfId="0" applyFont="1" applyFill="1" applyAlignment="1">
      <alignment horizontal="left"/>
    </xf>
    <xf numFmtId="0" fontId="17" fillId="4" borderId="9" xfId="0" applyFont="1" applyFill="1" applyBorder="1" applyAlignment="1">
      <alignment horizontal="left" vertical="center"/>
    </xf>
    <xf numFmtId="0" fontId="17" fillId="4" borderId="0" xfId="0" applyFont="1" applyFill="1" applyAlignment="1">
      <alignment horizontal="right"/>
    </xf>
    <xf numFmtId="3" fontId="0" fillId="4" borderId="9" xfId="0" applyNumberFormat="1" applyFill="1" applyBorder="1" applyAlignment="1">
      <alignment horizontal="right"/>
    </xf>
    <xf numFmtId="4" fontId="17" fillId="4" borderId="2" xfId="0" applyNumberFormat="1" applyFont="1" applyFill="1" applyBorder="1" applyAlignment="1">
      <alignment horizontal="right"/>
    </xf>
    <xf numFmtId="187" fontId="17" fillId="4" borderId="9" xfId="0" applyNumberFormat="1" applyFont="1" applyFill="1" applyBorder="1" applyAlignment="1">
      <alignment wrapText="1"/>
    </xf>
    <xf numFmtId="0" fontId="17" fillId="4" borderId="5" xfId="0" applyFont="1" applyFill="1" applyBorder="1" applyAlignment="1">
      <alignment wrapText="1"/>
    </xf>
    <xf numFmtId="167" fontId="17" fillId="4" borderId="5" xfId="0" applyNumberFormat="1" applyFont="1" applyFill="1" applyBorder="1"/>
    <xf numFmtId="0" fontId="0" fillId="0" borderId="14" xfId="0" applyBorder="1"/>
    <xf numFmtId="167" fontId="14" fillId="4" borderId="9" xfId="0" applyNumberFormat="1" applyFont="1" applyFill="1" applyBorder="1" applyAlignment="1">
      <alignment horizontal="center" wrapText="1"/>
    </xf>
    <xf numFmtId="167" fontId="14" fillId="11" borderId="9" xfId="0" applyNumberFormat="1" applyFont="1" applyFill="1" applyBorder="1" applyAlignment="1">
      <alignment horizontal="right" vertical="top" wrapText="1"/>
    </xf>
    <xf numFmtId="182" fontId="14" fillId="4" borderId="0" xfId="0" applyNumberFormat="1" applyFont="1" applyFill="1" applyAlignment="1">
      <alignment horizontal="right" vertical="center" wrapText="1"/>
    </xf>
    <xf numFmtId="0" fontId="78" fillId="4" borderId="0" xfId="0" applyFont="1" applyFill="1" applyAlignment="1">
      <alignment horizontal="center" wrapText="1"/>
    </xf>
    <xf numFmtId="0" fontId="77" fillId="4" borderId="7" xfId="0" applyFont="1" applyFill="1" applyBorder="1" applyAlignment="1">
      <alignment horizontal="center" wrapText="1"/>
    </xf>
    <xf numFmtId="0" fontId="14" fillId="4" borderId="0" xfId="0" applyFont="1" applyFill="1" applyAlignment="1">
      <alignment horizontal="center" vertical="top" wrapText="1"/>
    </xf>
    <xf numFmtId="167" fontId="14" fillId="4" borderId="0" xfId="0" applyNumberFormat="1" applyFont="1" applyFill="1" applyAlignment="1">
      <alignment horizontal="right" wrapText="1"/>
    </xf>
    <xf numFmtId="186" fontId="14" fillId="4" borderId="0" xfId="0" applyNumberFormat="1" applyFont="1" applyFill="1" applyAlignment="1">
      <alignment horizontal="right" wrapText="1"/>
    </xf>
    <xf numFmtId="179" fontId="14" fillId="6" borderId="9" xfId="0" applyNumberFormat="1" applyFont="1" applyFill="1" applyBorder="1" applyAlignment="1">
      <alignment horizontal="right" vertical="top" wrapText="1"/>
    </xf>
    <xf numFmtId="183" fontId="14" fillId="11" borderId="9" xfId="0" applyNumberFormat="1" applyFont="1" applyFill="1" applyBorder="1" applyAlignment="1">
      <alignment horizontal="right" vertical="top" wrapText="1"/>
    </xf>
    <xf numFmtId="2" fontId="14" fillId="11" borderId="9" xfId="0" applyNumberFormat="1" applyFont="1" applyFill="1" applyBorder="1" applyAlignment="1">
      <alignment horizontal="right" vertical="top" wrapText="1"/>
    </xf>
    <xf numFmtId="179" fontId="17" fillId="4" borderId="9" xfId="0" applyNumberFormat="1" applyFont="1" applyFill="1" applyBorder="1" applyAlignment="1">
      <alignment horizontal="right" vertical="top"/>
    </xf>
    <xf numFmtId="167" fontId="17" fillId="4" borderId="9" xfId="0" applyNumberFormat="1" applyFont="1" applyFill="1" applyBorder="1" applyAlignment="1">
      <alignment horizontal="right" vertical="top"/>
    </xf>
    <xf numFmtId="184" fontId="17" fillId="4" borderId="9" xfId="0" applyNumberFormat="1" applyFont="1" applyFill="1" applyBorder="1" applyAlignment="1">
      <alignment horizontal="right" vertical="top"/>
    </xf>
    <xf numFmtId="179" fontId="14" fillId="4" borderId="0" xfId="0" applyNumberFormat="1" applyFont="1" applyFill="1" applyAlignment="1">
      <alignment wrapText="1"/>
    </xf>
    <xf numFmtId="0" fontId="53" fillId="6" borderId="12" xfId="0" applyFont="1" applyFill="1" applyBorder="1" applyAlignment="1">
      <alignment horizontal="center"/>
    </xf>
    <xf numFmtId="4" fontId="14" fillId="4" borderId="9" xfId="0" applyNumberFormat="1" applyFont="1" applyFill="1" applyBorder="1" applyAlignment="1">
      <alignment horizontal="right" wrapText="1"/>
    </xf>
    <xf numFmtId="0" fontId="14" fillId="4" borderId="0" xfId="0" applyFont="1" applyFill="1" applyAlignment="1">
      <alignment horizontal="left" wrapText="1"/>
    </xf>
    <xf numFmtId="179" fontId="14" fillId="4" borderId="0" xfId="0" applyNumberFormat="1" applyFont="1" applyFill="1" applyAlignment="1">
      <alignment horizontal="center" wrapText="1"/>
    </xf>
    <xf numFmtId="171" fontId="17" fillId="4" borderId="9" xfId="0" applyNumberFormat="1" applyFont="1" applyFill="1" applyBorder="1" applyAlignment="1">
      <alignment vertical="center"/>
    </xf>
    <xf numFmtId="167" fontId="14" fillId="4" borderId="9" xfId="0" applyNumberFormat="1" applyFont="1" applyFill="1" applyBorder="1" applyAlignment="1">
      <alignment wrapText="1"/>
    </xf>
    <xf numFmtId="171" fontId="14" fillId="4" borderId="9" xfId="1" applyNumberFormat="1" applyFont="1" applyFill="1" applyBorder="1" applyAlignment="1">
      <alignment vertical="center"/>
    </xf>
    <xf numFmtId="0" fontId="53" fillId="0" borderId="0" xfId="0" applyFont="1"/>
    <xf numFmtId="167" fontId="60" fillId="0" borderId="0" xfId="0" applyNumberFormat="1" applyFont="1"/>
    <xf numFmtId="171" fontId="60" fillId="0" borderId="0" xfId="0" applyNumberFormat="1" applyFont="1"/>
    <xf numFmtId="0" fontId="7" fillId="0" borderId="0" xfId="0" applyFont="1"/>
    <xf numFmtId="178" fontId="60" fillId="0" borderId="0" xfId="0" applyNumberFormat="1" applyFont="1"/>
    <xf numFmtId="10" fontId="60" fillId="0" borderId="0" xfId="0" applyNumberFormat="1" applyFont="1"/>
    <xf numFmtId="182" fontId="60" fillId="0" borderId="0" xfId="0" applyNumberFormat="1" applyFont="1"/>
    <xf numFmtId="0" fontId="79" fillId="0" borderId="0" xfId="0" applyFont="1"/>
    <xf numFmtId="178" fontId="14" fillId="4" borderId="11" xfId="0" applyNumberFormat="1" applyFont="1" applyFill="1" applyBorder="1" applyAlignment="1">
      <alignment horizontal="center" vertical="center" wrapText="1"/>
    </xf>
    <xf numFmtId="0" fontId="14" fillId="4" borderId="4" xfId="0" applyFont="1" applyFill="1" applyBorder="1" applyAlignment="1">
      <alignment horizontal="left" wrapText="1"/>
    </xf>
    <xf numFmtId="0" fontId="75" fillId="4" borderId="0" xfId="0" applyFont="1" applyFill="1" applyAlignment="1">
      <alignment horizontal="center" vertical="center" wrapText="1"/>
    </xf>
    <xf numFmtId="0" fontId="36" fillId="4" borderId="2" xfId="0" applyFont="1" applyFill="1" applyBorder="1" applyAlignment="1">
      <alignment vertical="center"/>
    </xf>
    <xf numFmtId="0" fontId="75" fillId="4" borderId="0" xfId="0" applyFont="1" applyFill="1" applyAlignment="1">
      <alignment wrapText="1"/>
    </xf>
    <xf numFmtId="185" fontId="17" fillId="4" borderId="0" xfId="0" applyNumberFormat="1" applyFont="1" applyFill="1" applyAlignment="1">
      <alignment horizontal="right"/>
    </xf>
    <xf numFmtId="0" fontId="76" fillId="4" borderId="7" xfId="0" applyFont="1" applyFill="1" applyBorder="1" applyAlignment="1">
      <alignment horizontal="center" vertical="top" wrapText="1"/>
    </xf>
    <xf numFmtId="183" fontId="17" fillId="11" borderId="9" xfId="0" applyNumberFormat="1" applyFont="1" applyFill="1" applyBorder="1"/>
    <xf numFmtId="183" fontId="17" fillId="11" borderId="12" xfId="0" applyNumberFormat="1" applyFont="1" applyFill="1" applyBorder="1"/>
    <xf numFmtId="185" fontId="17" fillId="4" borderId="12" xfId="0" applyNumberFormat="1" applyFont="1" applyFill="1" applyBorder="1" applyAlignment="1">
      <alignment horizontal="right"/>
    </xf>
    <xf numFmtId="176" fontId="17" fillId="6" borderId="12" xfId="0" applyNumberFormat="1" applyFont="1" applyFill="1" applyBorder="1" applyAlignment="1">
      <alignment horizontal="right"/>
    </xf>
    <xf numFmtId="176" fontId="17" fillId="6" borderId="9" xfId="0" applyNumberFormat="1" applyFont="1" applyFill="1" applyBorder="1" applyAlignment="1">
      <alignment horizontal="right"/>
    </xf>
    <xf numFmtId="2" fontId="17" fillId="11" borderId="10" xfId="0" applyNumberFormat="1" applyFont="1" applyFill="1" applyBorder="1"/>
    <xf numFmtId="176" fontId="17" fillId="6" borderId="10" xfId="0" applyNumberFormat="1" applyFont="1" applyFill="1" applyBorder="1" applyAlignment="1">
      <alignment horizontal="right"/>
    </xf>
    <xf numFmtId="185" fontId="17" fillId="4" borderId="14" xfId="0" applyNumberFormat="1" applyFont="1" applyFill="1" applyBorder="1" applyAlignment="1">
      <alignment horizontal="right"/>
    </xf>
    <xf numFmtId="0" fontId="17" fillId="4" borderId="2" xfId="0" applyFont="1" applyFill="1" applyBorder="1" applyAlignment="1">
      <alignment horizontal="right" wrapText="1"/>
    </xf>
    <xf numFmtId="188" fontId="17" fillId="4" borderId="9" xfId="0" applyNumberFormat="1" applyFont="1" applyFill="1" applyBorder="1" applyAlignment="1">
      <alignment horizontal="right"/>
    </xf>
    <xf numFmtId="174" fontId="17" fillId="0" borderId="9" xfId="0" applyNumberFormat="1" applyFont="1" applyBorder="1" applyAlignment="1">
      <alignment horizontal="right"/>
    </xf>
    <xf numFmtId="176" fontId="17" fillId="4" borderId="2" xfId="0" applyNumberFormat="1" applyFont="1" applyFill="1" applyBorder="1" applyAlignment="1">
      <alignment horizontal="right" wrapText="1"/>
    </xf>
    <xf numFmtId="189" fontId="17" fillId="12" borderId="9" xfId="0" applyNumberFormat="1" applyFont="1" applyFill="1" applyBorder="1"/>
    <xf numFmtId="189" fontId="17" fillId="13" borderId="9" xfId="0" applyNumberFormat="1" applyFont="1" applyFill="1" applyBorder="1"/>
    <xf numFmtId="190" fontId="17" fillId="12" borderId="9" xfId="0" applyNumberFormat="1" applyFont="1" applyFill="1" applyBorder="1"/>
    <xf numFmtId="190" fontId="17" fillId="13" borderId="9" xfId="0" applyNumberFormat="1" applyFont="1" applyFill="1" applyBorder="1"/>
    <xf numFmtId="188" fontId="14" fillId="4" borderId="11" xfId="0" applyNumberFormat="1" applyFont="1" applyFill="1" applyBorder="1" applyAlignment="1">
      <alignment horizontal="center" vertical="center" wrapText="1"/>
    </xf>
    <xf numFmtId="190" fontId="60" fillId="0" borderId="0" xfId="0" applyNumberFormat="1" applyFont="1"/>
    <xf numFmtId="190" fontId="17" fillId="4" borderId="3" xfId="0" applyNumberFormat="1" applyFont="1" applyFill="1" applyBorder="1" applyAlignment="1">
      <alignment horizontal="right"/>
    </xf>
    <xf numFmtId="190" fontId="17" fillId="4" borderId="5" xfId="0" applyNumberFormat="1" applyFont="1" applyFill="1" applyBorder="1" applyAlignment="1">
      <alignment horizontal="right"/>
    </xf>
    <xf numFmtId="190" fontId="17" fillId="4" borderId="8" xfId="0" applyNumberFormat="1" applyFont="1" applyFill="1" applyBorder="1" applyAlignment="1">
      <alignment horizontal="right"/>
    </xf>
    <xf numFmtId="190" fontId="65" fillId="14" borderId="0" xfId="0" applyNumberFormat="1" applyFont="1" applyFill="1"/>
    <xf numFmtId="189" fontId="65" fillId="14" borderId="0" xfId="0" applyNumberFormat="1" applyFont="1" applyFill="1"/>
    <xf numFmtId="189" fontId="17" fillId="4" borderId="3" xfId="0" applyNumberFormat="1" applyFont="1" applyFill="1" applyBorder="1" applyAlignment="1">
      <alignment horizontal="right"/>
    </xf>
    <xf numFmtId="189" fontId="17" fillId="4" borderId="5" xfId="0" applyNumberFormat="1" applyFont="1" applyFill="1" applyBorder="1" applyAlignment="1">
      <alignment horizontal="right"/>
    </xf>
    <xf numFmtId="189" fontId="17" fillId="4" borderId="8" xfId="0" applyNumberFormat="1" applyFont="1" applyFill="1" applyBorder="1" applyAlignment="1">
      <alignment horizontal="right"/>
    </xf>
    <xf numFmtId="189" fontId="17" fillId="4" borderId="15" xfId="0" applyNumberFormat="1" applyFont="1" applyFill="1" applyBorder="1" applyAlignment="1">
      <alignment horizontal="right"/>
    </xf>
    <xf numFmtId="189" fontId="14" fillId="4" borderId="11" xfId="0" applyNumberFormat="1" applyFont="1" applyFill="1" applyBorder="1" applyAlignment="1">
      <alignment horizontal="center" vertical="center" wrapText="1"/>
    </xf>
    <xf numFmtId="189" fontId="56" fillId="4" borderId="0" xfId="0" applyNumberFormat="1" applyFont="1" applyFill="1" applyAlignment="1">
      <alignment horizontal="right" vertical="top" wrapText="1"/>
    </xf>
    <xf numFmtId="188" fontId="56" fillId="4" borderId="0" xfId="0" applyNumberFormat="1" applyFont="1" applyFill="1" applyAlignment="1">
      <alignment horizontal="right" vertical="top"/>
    </xf>
    <xf numFmtId="9" fontId="17" fillId="6" borderId="9" xfId="0" applyNumberFormat="1" applyFont="1" applyFill="1" applyBorder="1"/>
    <xf numFmtId="0" fontId="17" fillId="6" borderId="9" xfId="0" applyFont="1" applyFill="1" applyBorder="1" applyAlignment="1">
      <alignment wrapText="1"/>
    </xf>
    <xf numFmtId="0" fontId="14" fillId="6" borderId="9" xfId="0" applyFont="1" applyFill="1" applyBorder="1" applyAlignment="1">
      <alignment horizontal="left"/>
    </xf>
    <xf numFmtId="3" fontId="14" fillId="6" borderId="9" xfId="0" applyNumberFormat="1" applyFont="1" applyFill="1" applyBorder="1" applyAlignment="1">
      <alignment horizontal="left"/>
    </xf>
    <xf numFmtId="0" fontId="36" fillId="4" borderId="4" xfId="0" applyFont="1" applyFill="1" applyBorder="1" applyAlignment="1">
      <alignment horizontal="left" vertical="top" wrapText="1"/>
    </xf>
    <xf numFmtId="9" fontId="17" fillId="4" borderId="0" xfId="0" applyNumberFormat="1" applyFont="1" applyFill="1"/>
    <xf numFmtId="167" fontId="17" fillId="6" borderId="9" xfId="0" applyNumberFormat="1" applyFont="1" applyFill="1" applyBorder="1"/>
    <xf numFmtId="0" fontId="17" fillId="4" borderId="1" xfId="0" applyFont="1" applyFill="1" applyBorder="1" applyAlignment="1">
      <alignment horizontal="left" wrapText="1"/>
    </xf>
    <xf numFmtId="3" fontId="17" fillId="4" borderId="1" xfId="0" applyNumberFormat="1" applyFont="1" applyFill="1" applyBorder="1" applyAlignment="1">
      <alignment horizontal="left" wrapText="1"/>
    </xf>
    <xf numFmtId="3" fontId="17" fillId="4" borderId="10" xfId="0" applyNumberFormat="1" applyFont="1" applyFill="1" applyBorder="1" applyAlignment="1">
      <alignment horizontal="left" wrapText="1"/>
    </xf>
    <xf numFmtId="3" fontId="17" fillId="4" borderId="6" xfId="0" applyNumberFormat="1" applyFont="1" applyFill="1" applyBorder="1" applyAlignment="1">
      <alignment horizontal="left" wrapText="1"/>
    </xf>
    <xf numFmtId="3" fontId="17" fillId="4" borderId="12" xfId="0" applyNumberFormat="1" applyFont="1" applyFill="1" applyBorder="1" applyAlignment="1">
      <alignment horizontal="left" wrapText="1"/>
    </xf>
    <xf numFmtId="0" fontId="36" fillId="4" borderId="0" xfId="0" applyFont="1" applyFill="1" applyAlignment="1">
      <alignment horizontal="left" vertical="top" wrapText="1"/>
    </xf>
    <xf numFmtId="0" fontId="17" fillId="4" borderId="6" xfId="0" applyFont="1" applyFill="1" applyBorder="1" applyAlignment="1">
      <alignment wrapText="1"/>
    </xf>
    <xf numFmtId="0" fontId="17" fillId="4" borderId="13" xfId="0" applyFont="1" applyFill="1" applyBorder="1" applyAlignment="1">
      <alignment horizontal="left" wrapText="1"/>
    </xf>
    <xf numFmtId="3" fontId="17" fillId="4" borderId="4" xfId="0" applyNumberFormat="1" applyFont="1" applyFill="1" applyBorder="1" applyAlignment="1">
      <alignment horizontal="left" wrapText="1"/>
    </xf>
    <xf numFmtId="0" fontId="0" fillId="0" borderId="14" xfId="0" applyBorder="1" applyAlignment="1">
      <alignment horizontal="left"/>
    </xf>
    <xf numFmtId="0" fontId="0" fillId="4" borderId="3" xfId="0" applyFill="1" applyBorder="1" applyAlignment="1">
      <alignment horizontal="left"/>
    </xf>
    <xf numFmtId="0" fontId="0" fillId="4" borderId="5" xfId="0" applyFill="1" applyBorder="1" applyAlignment="1">
      <alignment horizontal="left"/>
    </xf>
    <xf numFmtId="0" fontId="0" fillId="4" borderId="8" xfId="0" applyFill="1" applyBorder="1" applyAlignment="1">
      <alignment horizontal="left"/>
    </xf>
    <xf numFmtId="0" fontId="0" fillId="4" borderId="2" xfId="0" applyFill="1" applyBorder="1" applyAlignment="1">
      <alignment horizontal="left"/>
    </xf>
    <xf numFmtId="0" fontId="17" fillId="4" borderId="14" xfId="0" applyFont="1" applyFill="1" applyBorder="1" applyAlignment="1">
      <alignment wrapText="1"/>
    </xf>
    <xf numFmtId="0" fontId="17" fillId="4" borderId="15" xfId="0" applyFont="1" applyFill="1" applyBorder="1" applyAlignment="1">
      <alignment wrapText="1"/>
    </xf>
    <xf numFmtId="0" fontId="39" fillId="4" borderId="0" xfId="2" applyFont="1" applyFill="1" applyBorder="1" applyAlignment="1">
      <alignment horizontal="left" vertical="center" indent="2"/>
    </xf>
    <xf numFmtId="176" fontId="17" fillId="6" borderId="9" xfId="0" applyNumberFormat="1" applyFont="1" applyFill="1" applyBorder="1"/>
    <xf numFmtId="178" fontId="17" fillId="6" borderId="9" xfId="0" applyNumberFormat="1" applyFont="1" applyFill="1" applyBorder="1"/>
    <xf numFmtId="182" fontId="17" fillId="6" borderId="9" xfId="0" applyNumberFormat="1" applyFont="1" applyFill="1" applyBorder="1"/>
    <xf numFmtId="178" fontId="0" fillId="4" borderId="9" xfId="0" applyNumberFormat="1" applyFill="1" applyBorder="1"/>
    <xf numFmtId="182" fontId="0" fillId="4" borderId="9" xfId="0" applyNumberFormat="1" applyFill="1" applyBorder="1"/>
    <xf numFmtId="0" fontId="0" fillId="4" borderId="14" xfId="0" applyFill="1" applyBorder="1" applyAlignment="1">
      <alignment horizontal="left"/>
    </xf>
    <xf numFmtId="176" fontId="17" fillId="0" borderId="9" xfId="0" applyNumberFormat="1" applyFont="1" applyBorder="1" applyAlignment="1">
      <alignment horizontal="right" wrapText="1"/>
    </xf>
    <xf numFmtId="176" fontId="0" fillId="4" borderId="9" xfId="0" applyNumberFormat="1" applyFill="1" applyBorder="1"/>
    <xf numFmtId="185" fontId="17" fillId="0" borderId="9" xfId="0" applyNumberFormat="1" applyFont="1" applyBorder="1" applyAlignment="1">
      <alignment horizontal="right" wrapText="1"/>
    </xf>
    <xf numFmtId="185" fontId="17" fillId="6" borderId="9" xfId="0" applyNumberFormat="1" applyFont="1" applyFill="1" applyBorder="1" applyAlignment="1">
      <alignment horizontal="right"/>
    </xf>
    <xf numFmtId="185" fontId="0" fillId="4" borderId="9" xfId="0" applyNumberFormat="1" applyFill="1" applyBorder="1"/>
    <xf numFmtId="185" fontId="17" fillId="6" borderId="9" xfId="0" applyNumberFormat="1" applyFont="1" applyFill="1" applyBorder="1"/>
    <xf numFmtId="0" fontId="2" fillId="4" borderId="0" xfId="2" applyFill="1" applyBorder="1" applyAlignment="1">
      <alignment horizontal="left" vertical="top" indent="3"/>
    </xf>
    <xf numFmtId="0" fontId="2" fillId="4" borderId="11" xfId="2" applyFill="1" applyBorder="1" applyAlignment="1">
      <alignment horizontal="left" vertical="top" indent="3"/>
    </xf>
    <xf numFmtId="0" fontId="78" fillId="4" borderId="4" xfId="0" applyFont="1" applyFill="1" applyBorder="1" applyAlignment="1">
      <alignment vertical="center" wrapText="1"/>
    </xf>
    <xf numFmtId="0" fontId="78" fillId="4" borderId="0" xfId="0" applyFont="1" applyFill="1" applyAlignment="1">
      <alignment horizontal="left" vertical="center" wrapText="1" indent="1"/>
    </xf>
    <xf numFmtId="0" fontId="81" fillId="4" borderId="0" xfId="2" applyFont="1" applyFill="1" applyBorder="1" applyAlignment="1">
      <alignment vertical="center"/>
    </xf>
    <xf numFmtId="0" fontId="7" fillId="4" borderId="5" xfId="2" applyFont="1" applyFill="1" applyBorder="1" applyAlignment="1">
      <alignment horizontal="left" vertical="top" wrapText="1" indent="1"/>
    </xf>
    <xf numFmtId="0" fontId="32" fillId="4" borderId="8" xfId="0" applyFont="1" applyFill="1" applyBorder="1"/>
    <xf numFmtId="171" fontId="14" fillId="12" borderId="9" xfId="0" applyNumberFormat="1" applyFont="1" applyFill="1" applyBorder="1"/>
    <xf numFmtId="171" fontId="14" fillId="13" borderId="9" xfId="0" applyNumberFormat="1" applyFont="1" applyFill="1" applyBorder="1"/>
    <xf numFmtId="3" fontId="17" fillId="0" borderId="9" xfId="0" applyNumberFormat="1" applyFont="1" applyBorder="1"/>
    <xf numFmtId="3" fontId="17" fillId="0" borderId="0" xfId="0" applyNumberFormat="1" applyFont="1"/>
    <xf numFmtId="0" fontId="36" fillId="4" borderId="0" xfId="0" applyFont="1" applyFill="1"/>
    <xf numFmtId="0" fontId="82" fillId="4" borderId="4" xfId="0" applyFont="1" applyFill="1" applyBorder="1" applyAlignment="1">
      <alignment horizontal="left" vertical="center" wrapText="1" indent="1"/>
    </xf>
    <xf numFmtId="0" fontId="13" fillId="4" borderId="0" xfId="0" applyFont="1" applyFill="1"/>
    <xf numFmtId="0" fontId="14" fillId="12" borderId="1" xfId="0" applyFont="1" applyFill="1" applyBorder="1" applyAlignment="1">
      <alignment horizontal="left" wrapText="1"/>
    </xf>
    <xf numFmtId="0" fontId="14" fillId="4" borderId="6" xfId="0" applyFont="1" applyFill="1" applyBorder="1"/>
    <xf numFmtId="0" fontId="14" fillId="12" borderId="10" xfId="0" applyFont="1" applyFill="1" applyBorder="1" applyAlignment="1">
      <alignment wrapText="1"/>
    </xf>
    <xf numFmtId="0" fontId="14" fillId="12" borderId="4" xfId="0" applyFont="1" applyFill="1" applyBorder="1" applyAlignment="1">
      <alignment horizontal="left" wrapText="1"/>
    </xf>
    <xf numFmtId="0" fontId="60" fillId="12" borderId="0" xfId="0" applyFont="1" applyFill="1"/>
    <xf numFmtId="0" fontId="14" fillId="12" borderId="13" xfId="0" applyFont="1" applyFill="1" applyBorder="1" applyAlignment="1">
      <alignment wrapText="1"/>
    </xf>
    <xf numFmtId="0" fontId="60" fillId="12" borderId="15" xfId="0" applyFont="1" applyFill="1" applyBorder="1"/>
    <xf numFmtId="3" fontId="14" fillId="12" borderId="1" xfId="0" applyNumberFormat="1" applyFont="1" applyFill="1" applyBorder="1" applyAlignment="1">
      <alignment horizontal="left" wrapText="1"/>
    </xf>
    <xf numFmtId="0" fontId="60" fillId="12" borderId="2" xfId="0" applyFont="1" applyFill="1" applyBorder="1"/>
    <xf numFmtId="3" fontId="14" fillId="12" borderId="6" xfId="0" applyNumberFormat="1" applyFont="1" applyFill="1" applyBorder="1" applyAlignment="1">
      <alignment horizontal="left" wrapText="1"/>
    </xf>
    <xf numFmtId="0" fontId="60" fillId="12" borderId="7" xfId="0" applyFont="1" applyFill="1" applyBorder="1"/>
    <xf numFmtId="0" fontId="60" fillId="12" borderId="3" xfId="0" applyFont="1" applyFill="1" applyBorder="1"/>
    <xf numFmtId="178" fontId="14" fillId="12" borderId="9" xfId="0" applyNumberFormat="1" applyFont="1" applyFill="1" applyBorder="1"/>
    <xf numFmtId="178" fontId="60" fillId="13" borderId="9" xfId="0" applyNumberFormat="1" applyFont="1" applyFill="1" applyBorder="1"/>
    <xf numFmtId="182" fontId="14" fillId="12" borderId="9" xfId="0" applyNumberFormat="1" applyFont="1" applyFill="1" applyBorder="1"/>
    <xf numFmtId="182" fontId="60" fillId="13" borderId="9" xfId="0" applyNumberFormat="1" applyFont="1" applyFill="1" applyBorder="1"/>
    <xf numFmtId="0" fontId="14" fillId="12" borderId="13" xfId="0" applyFont="1" applyFill="1" applyBorder="1" applyAlignment="1">
      <alignment horizontal="left" wrapText="1"/>
    </xf>
    <xf numFmtId="189" fontId="14" fillId="12" borderId="9" xfId="0" applyNumberFormat="1" applyFont="1" applyFill="1" applyBorder="1"/>
    <xf numFmtId="190" fontId="14" fillId="12" borderId="9" xfId="0" applyNumberFormat="1" applyFont="1" applyFill="1" applyBorder="1"/>
    <xf numFmtId="189" fontId="14" fillId="13" borderId="9" xfId="0" applyNumberFormat="1" applyFont="1" applyFill="1" applyBorder="1"/>
    <xf numFmtId="190" fontId="14" fillId="13" borderId="9" xfId="0" applyNumberFormat="1" applyFont="1" applyFill="1" applyBorder="1"/>
    <xf numFmtId="0" fontId="14" fillId="12" borderId="1" xfId="0" applyFont="1" applyFill="1" applyBorder="1" applyAlignment="1">
      <alignment wrapText="1"/>
    </xf>
    <xf numFmtId="0" fontId="14" fillId="12" borderId="3" xfId="0" applyFont="1" applyFill="1" applyBorder="1" applyAlignment="1">
      <alignment wrapText="1"/>
    </xf>
    <xf numFmtId="174" fontId="60" fillId="0" borderId="0" xfId="0" applyNumberFormat="1" applyFont="1"/>
    <xf numFmtId="189" fontId="60" fillId="0" borderId="0" xfId="0" applyNumberFormat="1" applyFont="1"/>
    <xf numFmtId="0" fontId="0" fillId="4" borderId="1" xfId="0" applyFill="1" applyBorder="1"/>
    <xf numFmtId="0" fontId="3" fillId="4" borderId="3" xfId="0" applyFont="1" applyFill="1" applyBorder="1" applyAlignment="1">
      <alignment horizontal="left" vertical="center"/>
    </xf>
    <xf numFmtId="0" fontId="78" fillId="4" borderId="7" xfId="0" applyFont="1" applyFill="1" applyBorder="1" applyAlignment="1">
      <alignment horizontal="left" vertical="center" wrapText="1" indent="1"/>
    </xf>
    <xf numFmtId="0" fontId="17" fillId="4" borderId="7" xfId="0" applyFont="1" applyFill="1" applyBorder="1" applyAlignment="1">
      <alignment horizontal="left" wrapText="1"/>
    </xf>
    <xf numFmtId="0" fontId="17" fillId="4" borderId="9" xfId="0" applyFont="1" applyFill="1" applyBorder="1" applyAlignment="1">
      <alignment horizontal="center" wrapText="1"/>
    </xf>
    <xf numFmtId="0" fontId="5" fillId="4" borderId="0" xfId="0" applyFont="1" applyFill="1" applyAlignment="1">
      <alignment horizontal="left" vertical="top"/>
    </xf>
    <xf numFmtId="3" fontId="17" fillId="6" borderId="9" xfId="0" applyNumberFormat="1" applyFont="1" applyFill="1" applyBorder="1" applyAlignment="1">
      <alignment horizontal="center" wrapText="1"/>
    </xf>
    <xf numFmtId="0" fontId="14" fillId="7" borderId="9" xfId="0" applyFont="1" applyFill="1" applyBorder="1" applyAlignment="1">
      <alignment horizontal="left" vertical="center"/>
    </xf>
    <xf numFmtId="0" fontId="5" fillId="4" borderId="0" xfId="0" applyFont="1" applyFill="1" applyAlignment="1">
      <alignment horizontal="left" vertical="center"/>
    </xf>
    <xf numFmtId="0" fontId="16" fillId="4" borderId="4" xfId="0" applyFont="1" applyFill="1" applyBorder="1" applyAlignment="1">
      <alignment horizontal="left" vertical="top" wrapText="1" indent="1"/>
    </xf>
    <xf numFmtId="0" fontId="14" fillId="4" borderId="7" xfId="0" applyFont="1" applyFill="1" applyBorder="1" applyAlignment="1">
      <alignment horizontal="left" vertical="center" wrapText="1"/>
    </xf>
    <xf numFmtId="0" fontId="5" fillId="4" borderId="4" xfId="0" applyFont="1" applyFill="1" applyBorder="1" applyAlignment="1">
      <alignment horizontal="left" vertical="top"/>
    </xf>
    <xf numFmtId="0" fontId="14" fillId="4" borderId="5" xfId="0" applyFont="1" applyFill="1" applyBorder="1"/>
    <xf numFmtId="0" fontId="13" fillId="4" borderId="0" xfId="0" applyFont="1" applyFill="1" applyAlignment="1">
      <alignment horizontal="left" indent="2"/>
    </xf>
    <xf numFmtId="0" fontId="14" fillId="4" borderId="0" xfId="0" applyFont="1" applyFill="1" applyAlignment="1">
      <alignment horizontal="left" indent="3"/>
    </xf>
    <xf numFmtId="4" fontId="17" fillId="4" borderId="9" xfId="0" applyNumberFormat="1" applyFont="1" applyFill="1" applyBorder="1" applyAlignment="1">
      <alignment horizontal="center" vertical="center"/>
    </xf>
    <xf numFmtId="3" fontId="17" fillId="4" borderId="9" xfId="0" applyNumberFormat="1" applyFont="1" applyFill="1" applyBorder="1" applyAlignment="1">
      <alignment horizontal="center" vertical="center"/>
    </xf>
    <xf numFmtId="0" fontId="42" fillId="4" borderId="0" xfId="0" applyFont="1" applyFill="1" applyAlignment="1">
      <alignment horizontal="left" wrapText="1" indent="3"/>
    </xf>
    <xf numFmtId="0" fontId="42" fillId="4" borderId="5" xfId="0" applyFont="1" applyFill="1" applyBorder="1" applyAlignment="1">
      <alignment horizontal="left" wrapText="1" indent="3"/>
    </xf>
    <xf numFmtId="0" fontId="36" fillId="4" borderId="4" xfId="0" applyFont="1" applyFill="1" applyBorder="1" applyAlignment="1">
      <alignment horizontal="left" vertical="center" indent="1"/>
    </xf>
    <xf numFmtId="0" fontId="36" fillId="4" borderId="0" xfId="0" applyFont="1" applyFill="1" applyAlignment="1">
      <alignment vertical="top"/>
    </xf>
    <xf numFmtId="0" fontId="17" fillId="4" borderId="5" xfId="0" applyFont="1" applyFill="1" applyBorder="1" applyAlignment="1">
      <alignment horizontal="left" wrapText="1"/>
    </xf>
    <xf numFmtId="0" fontId="36" fillId="4" borderId="4" xfId="0" applyFont="1" applyFill="1" applyBorder="1"/>
    <xf numFmtId="0" fontId="17" fillId="11" borderId="9" xfId="0" applyFont="1" applyFill="1" applyBorder="1" applyAlignment="1">
      <alignment horizontal="center" wrapText="1"/>
    </xf>
    <xf numFmtId="0" fontId="17" fillId="4" borderId="9" xfId="0" applyFont="1" applyFill="1" applyBorder="1" applyAlignment="1">
      <alignment horizontal="center" vertical="center" wrapText="1"/>
    </xf>
    <xf numFmtId="3" fontId="17" fillId="6" borderId="9" xfId="0" applyNumberFormat="1" applyFont="1" applyFill="1" applyBorder="1" applyAlignment="1">
      <alignment horizontal="center" vertical="center" wrapText="1"/>
    </xf>
    <xf numFmtId="0" fontId="37" fillId="4" borderId="0" xfId="0" applyFont="1" applyFill="1" applyAlignment="1">
      <alignment horizontal="right" wrapText="1" indent="2"/>
    </xf>
    <xf numFmtId="0" fontId="37" fillId="4" borderId="0" xfId="0" applyFont="1" applyFill="1" applyAlignment="1">
      <alignment horizontal="right"/>
    </xf>
    <xf numFmtId="6" fontId="17" fillId="6" borderId="9" xfId="0" applyNumberFormat="1" applyFont="1" applyFill="1" applyBorder="1" applyAlignment="1">
      <alignment horizontal="center" vertical="center" wrapText="1"/>
    </xf>
    <xf numFmtId="0" fontId="5" fillId="4" borderId="0" xfId="0" applyFont="1" applyFill="1" applyAlignment="1">
      <alignment vertical="top"/>
    </xf>
    <xf numFmtId="0" fontId="5" fillId="4" borderId="5" xfId="0" applyFont="1" applyFill="1" applyBorder="1" applyAlignment="1">
      <alignment vertical="top"/>
    </xf>
    <xf numFmtId="0" fontId="49" fillId="4" borderId="0" xfId="0" applyFont="1" applyFill="1" applyAlignment="1">
      <alignment horizontal="center" wrapText="1"/>
    </xf>
    <xf numFmtId="0" fontId="5" fillId="4" borderId="4" xfId="0" applyFont="1" applyFill="1" applyBorder="1" applyAlignment="1">
      <alignment vertical="top"/>
    </xf>
    <xf numFmtId="0" fontId="13" fillId="4" borderId="2" xfId="0" applyFont="1" applyFill="1" applyBorder="1" applyAlignment="1">
      <alignment vertical="top"/>
    </xf>
    <xf numFmtId="0" fontId="13" fillId="4" borderId="3" xfId="0" applyFont="1" applyFill="1" applyBorder="1" applyAlignment="1">
      <alignment vertical="top"/>
    </xf>
    <xf numFmtId="0" fontId="36" fillId="4" borderId="4" xfId="0" applyFont="1" applyFill="1" applyBorder="1" applyAlignment="1">
      <alignment horizontal="left"/>
    </xf>
    <xf numFmtId="0" fontId="14" fillId="4" borderId="0" xfId="0" applyFont="1" applyFill="1" applyAlignment="1">
      <alignment horizontal="right" vertical="center"/>
    </xf>
    <xf numFmtId="0" fontId="17" fillId="4" borderId="0" xfId="0" applyFont="1" applyFill="1" applyAlignment="1">
      <alignment horizontal="left"/>
    </xf>
    <xf numFmtId="3" fontId="17" fillId="4" borderId="9" xfId="0" applyNumberFormat="1" applyFont="1" applyFill="1" applyBorder="1" applyAlignment="1">
      <alignment horizontal="right" wrapText="1"/>
    </xf>
    <xf numFmtId="2" fontId="17" fillId="4" borderId="9" xfId="0" applyNumberFormat="1" applyFont="1" applyFill="1" applyBorder="1" applyAlignment="1">
      <alignment horizontal="right"/>
    </xf>
    <xf numFmtId="6" fontId="17" fillId="4" borderId="9" xfId="0" applyNumberFormat="1" applyFont="1" applyFill="1" applyBorder="1" applyAlignment="1">
      <alignment horizontal="right"/>
    </xf>
    <xf numFmtId="191" fontId="17" fillId="4" borderId="9" xfId="0" applyNumberFormat="1" applyFont="1" applyFill="1" applyBorder="1" applyAlignment="1">
      <alignment horizontal="right"/>
    </xf>
    <xf numFmtId="4" fontId="17" fillId="4" borderId="13" xfId="0" applyNumberFormat="1" applyFont="1" applyFill="1" applyBorder="1" applyAlignment="1">
      <alignment vertical="center" wrapText="1"/>
    </xf>
    <xf numFmtId="0" fontId="14" fillId="4" borderId="13" xfId="0" applyFont="1" applyFill="1" applyBorder="1" applyAlignment="1">
      <alignment wrapText="1"/>
    </xf>
    <xf numFmtId="9" fontId="17" fillId="11" borderId="9" xfId="0" applyNumberFormat="1" applyFont="1" applyFill="1" applyBorder="1" applyAlignment="1">
      <alignment vertical="center"/>
    </xf>
    <xf numFmtId="9" fontId="15" fillId="11" borderId="9" xfId="0" applyNumberFormat="1" applyFont="1" applyFill="1" applyBorder="1" applyAlignment="1">
      <alignment vertical="center" wrapText="1"/>
    </xf>
    <xf numFmtId="9" fontId="15" fillId="4" borderId="9" xfId="0" applyNumberFormat="1" applyFont="1" applyFill="1" applyBorder="1" applyAlignment="1">
      <alignment vertical="center" wrapText="1"/>
    </xf>
    <xf numFmtId="171" fontId="17" fillId="4" borderId="15" xfId="0" applyNumberFormat="1" applyFont="1" applyFill="1" applyBorder="1"/>
    <xf numFmtId="4" fontId="36" fillId="15" borderId="9" xfId="0" applyNumberFormat="1" applyFont="1" applyFill="1" applyBorder="1" applyAlignment="1">
      <alignment vertical="center"/>
    </xf>
    <xf numFmtId="171" fontId="36" fillId="15" borderId="9" xfId="0" applyNumberFormat="1" applyFont="1" applyFill="1" applyBorder="1" applyAlignment="1">
      <alignment vertical="center"/>
    </xf>
    <xf numFmtId="9" fontId="17" fillId="15" borderId="9" xfId="0" applyNumberFormat="1" applyFont="1" applyFill="1" applyBorder="1" applyAlignment="1">
      <alignment vertical="center"/>
    </xf>
    <xf numFmtId="0" fontId="17" fillId="4" borderId="9" xfId="0" applyFont="1" applyFill="1" applyBorder="1" applyAlignment="1">
      <alignment horizontal="right"/>
    </xf>
    <xf numFmtId="0" fontId="5" fillId="4" borderId="2" xfId="0" applyFont="1" applyFill="1" applyBorder="1" applyAlignment="1">
      <alignment horizontal="left" vertical="top"/>
    </xf>
    <xf numFmtId="0" fontId="10" fillId="8" borderId="2" xfId="0" applyFont="1" applyFill="1" applyBorder="1" applyAlignment="1">
      <alignment vertical="center" wrapText="1"/>
    </xf>
    <xf numFmtId="0" fontId="14" fillId="4" borderId="4" xfId="0" applyFont="1" applyFill="1" applyBorder="1" applyAlignment="1">
      <alignment horizontal="left" vertical="top" wrapText="1"/>
    </xf>
    <xf numFmtId="0" fontId="14" fillId="4" borderId="0" xfId="0" applyFont="1" applyFill="1" applyAlignment="1">
      <alignment horizontal="left" vertical="top" wrapText="1"/>
    </xf>
    <xf numFmtId="0" fontId="5" fillId="4" borderId="3" xfId="0" applyFont="1" applyFill="1" applyBorder="1" applyAlignment="1">
      <alignment horizontal="left" vertical="top"/>
    </xf>
    <xf numFmtId="0" fontId="14" fillId="4" borderId="12" xfId="0" applyFont="1" applyFill="1" applyBorder="1" applyAlignment="1">
      <alignment horizontal="left" vertical="center" wrapText="1"/>
    </xf>
    <xf numFmtId="0" fontId="14" fillId="4" borderId="13" xfId="0" applyFont="1" applyFill="1" applyBorder="1" applyAlignment="1">
      <alignment horizontal="left" vertical="center" wrapText="1"/>
    </xf>
    <xf numFmtId="0" fontId="14" fillId="4" borderId="14" xfId="0" applyFont="1" applyFill="1" applyBorder="1" applyAlignment="1">
      <alignment horizontal="left" vertical="center" wrapText="1"/>
    </xf>
    <xf numFmtId="0" fontId="14" fillId="4" borderId="15" xfId="0" applyFont="1" applyFill="1" applyBorder="1" applyAlignment="1">
      <alignment horizontal="left" vertical="center" wrapText="1"/>
    </xf>
    <xf numFmtId="0" fontId="14" fillId="4" borderId="0" xfId="0" applyFont="1" applyFill="1" applyAlignment="1">
      <alignment horizontal="left" vertical="center" wrapText="1"/>
    </xf>
    <xf numFmtId="0" fontId="17" fillId="4" borderId="10" xfId="0" applyFont="1" applyFill="1" applyBorder="1" applyAlignment="1">
      <alignment horizontal="left" vertical="center"/>
    </xf>
    <xf numFmtId="0" fontId="17" fillId="4" borderId="11" xfId="0" applyFont="1" applyFill="1" applyBorder="1" applyAlignment="1">
      <alignment horizontal="left" vertical="center"/>
    </xf>
    <xf numFmtId="0" fontId="17" fillId="4" borderId="12" xfId="0" applyFont="1" applyFill="1" applyBorder="1" applyAlignment="1">
      <alignment horizontal="left" vertical="center"/>
    </xf>
    <xf numFmtId="0" fontId="14" fillId="4" borderId="0" xfId="0" applyFont="1" applyFill="1" applyAlignment="1">
      <alignment horizontal="left" vertical="top" wrapText="1" indent="4"/>
    </xf>
    <xf numFmtId="0" fontId="81" fillId="4" borderId="4" xfId="2" applyFont="1" applyFill="1" applyBorder="1" applyAlignment="1">
      <alignment horizontal="left" vertical="center"/>
    </xf>
    <xf numFmtId="0" fontId="17" fillId="4" borderId="0" xfId="0" applyFont="1" applyFill="1" applyAlignment="1">
      <alignment horizontal="left" vertical="center" wrapText="1"/>
    </xf>
    <xf numFmtId="0" fontId="14" fillId="4" borderId="4" xfId="0" applyFont="1" applyFill="1" applyBorder="1" applyAlignment="1">
      <alignment horizontal="left" vertical="center" wrapText="1"/>
    </xf>
    <xf numFmtId="0" fontId="78" fillId="4" borderId="4" xfId="0" applyFont="1" applyFill="1" applyBorder="1" applyAlignment="1">
      <alignment horizontal="left" vertical="center" wrapText="1" indent="1"/>
    </xf>
    <xf numFmtId="0" fontId="17" fillId="4" borderId="4" xfId="0" applyFont="1" applyFill="1" applyBorder="1" applyAlignment="1">
      <alignment horizontal="left" indent="1"/>
    </xf>
    <xf numFmtId="0" fontId="17" fillId="4" borderId="0" xfId="0" applyFont="1" applyFill="1" applyAlignment="1">
      <alignment horizontal="left" indent="1"/>
    </xf>
    <xf numFmtId="0" fontId="17" fillId="4" borderId="5" xfId="0" applyFont="1" applyFill="1" applyBorder="1" applyAlignment="1">
      <alignment horizontal="left" indent="1"/>
    </xf>
    <xf numFmtId="0" fontId="10" fillId="8" borderId="3" xfId="0" applyFont="1" applyFill="1" applyBorder="1" applyAlignment="1">
      <alignment vertical="center" wrapText="1"/>
    </xf>
    <xf numFmtId="0" fontId="14" fillId="4" borderId="5" xfId="0" applyFont="1" applyFill="1" applyBorder="1" applyAlignment="1">
      <alignment horizontal="left" vertical="top" wrapText="1"/>
    </xf>
    <xf numFmtId="0" fontId="70" fillId="9" borderId="16" xfId="3" applyFont="1" applyFill="1" applyBorder="1" applyAlignment="1">
      <alignment horizontal="center" wrapText="1"/>
    </xf>
    <xf numFmtId="0" fontId="17" fillId="4" borderId="13" xfId="0" applyFont="1" applyFill="1" applyBorder="1" applyAlignment="1">
      <alignment horizontal="center"/>
    </xf>
    <xf numFmtId="0" fontId="17" fillId="4" borderId="4" xfId="0" applyFont="1" applyFill="1" applyBorder="1" applyAlignment="1">
      <alignment horizontal="left"/>
    </xf>
    <xf numFmtId="0" fontId="17" fillId="4" borderId="5" xfId="0" applyFont="1" applyFill="1" applyBorder="1" applyAlignment="1">
      <alignment horizontal="left"/>
    </xf>
    <xf numFmtId="0" fontId="17" fillId="4" borderId="4" xfId="0" applyFont="1" applyFill="1" applyBorder="1" applyAlignment="1">
      <alignment horizontal="left" wrapText="1"/>
    </xf>
    <xf numFmtId="0" fontId="17" fillId="4" borderId="0" xfId="0" applyFont="1" applyFill="1" applyAlignment="1">
      <alignment horizontal="left" wrapText="1"/>
    </xf>
    <xf numFmtId="0" fontId="17" fillId="4" borderId="0" xfId="0" applyFont="1" applyFill="1" applyAlignment="1">
      <alignment horizontal="center" wrapText="1"/>
    </xf>
    <xf numFmtId="0" fontId="48" fillId="4" borderId="0" xfId="0" applyFont="1" applyFill="1" applyAlignment="1">
      <alignment horizontal="left" wrapText="1" indent="2"/>
    </xf>
    <xf numFmtId="0" fontId="14" fillId="4" borderId="4" xfId="0" applyFont="1" applyFill="1" applyBorder="1" applyAlignment="1">
      <alignment horizontal="left" vertical="top" wrapText="1" indent="2"/>
    </xf>
    <xf numFmtId="0" fontId="14" fillId="4" borderId="0" xfId="0" applyFont="1" applyFill="1" applyAlignment="1">
      <alignment horizontal="left" vertical="top" wrapText="1" indent="2"/>
    </xf>
    <xf numFmtId="9" fontId="15" fillId="4" borderId="9" xfId="4" applyFont="1" applyFill="1" applyBorder="1" applyAlignment="1">
      <alignment wrapText="1"/>
    </xf>
    <xf numFmtId="3" fontId="0" fillId="4" borderId="0" xfId="0" applyNumberFormat="1" applyFill="1"/>
    <xf numFmtId="3" fontId="0" fillId="4" borderId="5" xfId="0" applyNumberFormat="1" applyFill="1" applyBorder="1"/>
    <xf numFmtId="177" fontId="0" fillId="0" borderId="0" xfId="0" applyNumberFormat="1"/>
    <xf numFmtId="4" fontId="0" fillId="0" borderId="0" xfId="0" applyNumberFormat="1"/>
    <xf numFmtId="0" fontId="17" fillId="4" borderId="10" xfId="0" applyFont="1" applyFill="1" applyBorder="1" applyAlignment="1">
      <alignment vertical="center"/>
    </xf>
    <xf numFmtId="4" fontId="17" fillId="11" borderId="9" xfId="0" applyNumberFormat="1" applyFont="1" applyFill="1" applyBorder="1"/>
    <xf numFmtId="176" fontId="17" fillId="4" borderId="9" xfId="0" applyNumberFormat="1" applyFont="1" applyFill="1" applyBorder="1" applyAlignment="1">
      <alignment horizontal="right"/>
    </xf>
    <xf numFmtId="169" fontId="17" fillId="11" borderId="9" xfId="0" applyNumberFormat="1" applyFont="1" applyFill="1" applyBorder="1"/>
    <xf numFmtId="4" fontId="17" fillId="4" borderId="0" xfId="0" applyNumberFormat="1" applyFont="1" applyFill="1"/>
    <xf numFmtId="176" fontId="17" fillId="4" borderId="0" xfId="0" applyNumberFormat="1" applyFont="1" applyFill="1" applyAlignment="1">
      <alignment horizontal="right"/>
    </xf>
    <xf numFmtId="0" fontId="36" fillId="4" borderId="9" xfId="0" applyFont="1" applyFill="1" applyBorder="1" applyAlignment="1">
      <alignment vertical="center"/>
    </xf>
    <xf numFmtId="0" fontId="36" fillId="4" borderId="9" xfId="0" applyFont="1" applyFill="1" applyBorder="1" applyAlignment="1">
      <alignment horizontal="left" vertical="center"/>
    </xf>
    <xf numFmtId="0" fontId="36" fillId="4" borderId="9" xfId="0" applyFont="1" applyFill="1" applyBorder="1" applyAlignment="1">
      <alignment horizontal="left" vertical="center" wrapText="1"/>
    </xf>
    <xf numFmtId="0" fontId="13" fillId="4" borderId="9" xfId="0" applyFont="1" applyFill="1" applyBorder="1" applyAlignment="1">
      <alignment horizontal="left" vertical="center" wrapText="1"/>
    </xf>
    <xf numFmtId="0" fontId="17" fillId="4" borderId="4" xfId="0" applyFont="1" applyFill="1" applyBorder="1" applyAlignment="1">
      <alignment vertical="top" wrapText="1"/>
    </xf>
    <xf numFmtId="0" fontId="17" fillId="4" borderId="0" xfId="0" applyFont="1" applyFill="1" applyAlignment="1">
      <alignment vertical="top" wrapText="1"/>
    </xf>
    <xf numFmtId="0" fontId="0" fillId="0" borderId="24" xfId="0" applyBorder="1"/>
    <xf numFmtId="0" fontId="0" fillId="4" borderId="25" xfId="0" applyFill="1" applyBorder="1"/>
    <xf numFmtId="0" fontId="0" fillId="4" borderId="24" xfId="0" applyFill="1" applyBorder="1"/>
    <xf numFmtId="0" fontId="17" fillId="4" borderId="25" xfId="0" applyFont="1" applyFill="1" applyBorder="1"/>
    <xf numFmtId="10" fontId="17" fillId="4" borderId="9" xfId="4" applyNumberFormat="1" applyFont="1" applyFill="1" applyBorder="1" applyAlignment="1">
      <alignment vertical="top" wrapText="1"/>
    </xf>
    <xf numFmtId="173" fontId="14" fillId="4" borderId="13" xfId="0" applyNumberFormat="1" applyFont="1" applyFill="1" applyBorder="1" applyAlignment="1">
      <alignment horizontal="right" vertical="top" wrapText="1"/>
    </xf>
    <xf numFmtId="0" fontId="13" fillId="4" borderId="12" xfId="0" applyFont="1" applyFill="1" applyBorder="1" applyAlignment="1">
      <alignment horizontal="left" vertical="center" wrapText="1"/>
    </xf>
    <xf numFmtId="0" fontId="17" fillId="7" borderId="9" xfId="0" applyFont="1" applyFill="1" applyBorder="1"/>
    <xf numFmtId="0" fontId="17" fillId="7" borderId="9" xfId="0" applyFont="1" applyFill="1" applyBorder="1" applyAlignment="1">
      <alignment wrapText="1"/>
    </xf>
    <xf numFmtId="171" fontId="15" fillId="6" borderId="12" xfId="0" applyNumberFormat="1" applyFont="1" applyFill="1" applyBorder="1" applyAlignment="1">
      <alignment wrapText="1"/>
    </xf>
    <xf numFmtId="3" fontId="15" fillId="6" borderId="12" xfId="0" applyNumberFormat="1" applyFont="1" applyFill="1" applyBorder="1" applyAlignment="1">
      <alignment wrapText="1"/>
    </xf>
    <xf numFmtId="171" fontId="15" fillId="4" borderId="12" xfId="0" applyNumberFormat="1" applyFont="1" applyFill="1" applyBorder="1" applyAlignment="1">
      <alignment wrapText="1"/>
    </xf>
    <xf numFmtId="167" fontId="15" fillId="4" borderId="12" xfId="0" applyNumberFormat="1" applyFont="1" applyFill="1" applyBorder="1" applyAlignment="1">
      <alignment wrapText="1"/>
    </xf>
    <xf numFmtId="0" fontId="2" fillId="4" borderId="0" xfId="2" applyFill="1" applyBorder="1" applyAlignment="1">
      <alignment vertical="top" wrapText="1"/>
    </xf>
    <xf numFmtId="0" fontId="2" fillId="4" borderId="9" xfId="2" applyFill="1" applyBorder="1" applyAlignment="1">
      <alignment horizontal="left" vertical="top" wrapText="1" indent="1"/>
    </xf>
    <xf numFmtId="0" fontId="7" fillId="4" borderId="5" xfId="0" applyFont="1" applyFill="1" applyBorder="1" applyAlignment="1">
      <alignment horizontal="center" vertical="center" wrapText="1"/>
    </xf>
    <xf numFmtId="0" fontId="2" fillId="4" borderId="8" xfId="2" applyFill="1" applyBorder="1" applyAlignment="1">
      <alignment horizontal="left" vertical="top" wrapText="1" indent="1"/>
    </xf>
    <xf numFmtId="0" fontId="88" fillId="4" borderId="9" xfId="2" applyFont="1" applyFill="1" applyBorder="1" applyAlignment="1">
      <alignment horizontal="center" vertical="center" wrapText="1"/>
    </xf>
    <xf numFmtId="0" fontId="11" fillId="3" borderId="4" xfId="0" applyFont="1" applyFill="1" applyBorder="1" applyAlignment="1">
      <alignment vertical="center" wrapText="1"/>
    </xf>
    <xf numFmtId="0" fontId="11" fillId="0" borderId="4" xfId="0" applyFont="1" applyBorder="1" applyAlignment="1">
      <alignment vertical="center" wrapText="1"/>
    </xf>
    <xf numFmtId="0" fontId="11" fillId="0" borderId="0" xfId="0" applyFont="1" applyAlignment="1">
      <alignment vertical="center" wrapText="1"/>
    </xf>
    <xf numFmtId="0" fontId="20" fillId="0" borderId="0" xfId="0" applyFont="1" applyAlignment="1">
      <alignment vertical="center" wrapText="1"/>
    </xf>
    <xf numFmtId="0" fontId="20" fillId="0" borderId="5" xfId="0" applyFont="1" applyBorder="1" applyAlignment="1">
      <alignment vertical="center" wrapText="1"/>
    </xf>
    <xf numFmtId="0" fontId="88" fillId="4" borderId="5" xfId="2" applyFont="1" applyFill="1" applyBorder="1" applyAlignment="1">
      <alignment horizontal="center" vertical="center" wrapText="1"/>
    </xf>
    <xf numFmtId="0" fontId="13" fillId="4" borderId="12" xfId="0" applyFont="1" applyFill="1" applyBorder="1" applyAlignment="1">
      <alignment horizontal="left"/>
    </xf>
    <xf numFmtId="0" fontId="5" fillId="4" borderId="11" xfId="0" applyFont="1" applyFill="1" applyBorder="1" applyAlignment="1">
      <alignment horizontal="left" vertical="top"/>
    </xf>
    <xf numFmtId="0" fontId="88" fillId="4" borderId="11" xfId="2" applyFont="1" applyFill="1" applyBorder="1" applyAlignment="1">
      <alignment horizontal="center" vertical="center" wrapText="1"/>
    </xf>
    <xf numFmtId="0" fontId="88" fillId="4" borderId="12" xfId="2" applyFont="1" applyFill="1" applyBorder="1" applyAlignment="1">
      <alignment horizontal="center" vertical="center" wrapText="1"/>
    </xf>
    <xf numFmtId="0" fontId="7" fillId="4" borderId="10" xfId="0" applyFont="1" applyFill="1" applyBorder="1" applyAlignment="1">
      <alignment horizontal="left" vertical="top" wrapText="1"/>
    </xf>
    <xf numFmtId="0" fontId="88" fillId="4" borderId="11" xfId="2" applyFont="1" applyFill="1" applyBorder="1" applyAlignment="1">
      <alignment horizontal="center" vertical="top"/>
    </xf>
    <xf numFmtId="0" fontId="14" fillId="4" borderId="6" xfId="0" applyFont="1" applyFill="1" applyBorder="1" applyAlignment="1">
      <alignment vertical="top" wrapText="1"/>
    </xf>
    <xf numFmtId="0" fontId="14" fillId="4" borderId="7" xfId="0" applyFont="1" applyFill="1" applyBorder="1" applyAlignment="1">
      <alignment vertical="top" wrapText="1"/>
    </xf>
    <xf numFmtId="0" fontId="14" fillId="4" borderId="8" xfId="0" applyFont="1" applyFill="1" applyBorder="1" applyAlignment="1">
      <alignment vertical="top" wrapText="1"/>
    </xf>
    <xf numFmtId="0" fontId="14" fillId="4" borderId="1" xfId="0" applyFont="1" applyFill="1" applyBorder="1" applyAlignment="1">
      <alignment vertical="top" wrapText="1"/>
    </xf>
    <xf numFmtId="0" fontId="14" fillId="4" borderId="3" xfId="0" applyFont="1" applyFill="1" applyBorder="1" applyAlignment="1">
      <alignment vertical="top" wrapText="1"/>
    </xf>
    <xf numFmtId="0" fontId="5" fillId="4" borderId="5" xfId="0" applyFont="1" applyFill="1" applyBorder="1" applyAlignment="1">
      <alignment horizontal="left" vertical="top" wrapText="1"/>
    </xf>
    <xf numFmtId="0" fontId="12" fillId="4" borderId="0" xfId="0" applyFont="1" applyFill="1" applyAlignment="1">
      <alignment horizontal="right" vertical="top"/>
    </xf>
    <xf numFmtId="164" fontId="13" fillId="4" borderId="0" xfId="0" applyNumberFormat="1" applyFont="1" applyFill="1" applyAlignment="1">
      <alignment horizontal="left" vertical="top"/>
    </xf>
    <xf numFmtId="164" fontId="14" fillId="4" borderId="0" xfId="0" applyNumberFormat="1" applyFont="1" applyFill="1" applyAlignment="1">
      <alignment horizontal="left" vertical="top"/>
    </xf>
    <xf numFmtId="0" fontId="13" fillId="4" borderId="4" xfId="0" applyFont="1" applyFill="1" applyBorder="1" applyAlignment="1">
      <alignment horizontal="right" vertical="top"/>
    </xf>
    <xf numFmtId="4" fontId="14" fillId="6" borderId="9" xfId="0" applyNumberFormat="1" applyFont="1" applyFill="1" applyBorder="1" applyAlignment="1">
      <alignment horizontal="left" vertical="center" wrapText="1"/>
    </xf>
    <xf numFmtId="0" fontId="98" fillId="4" borderId="0" xfId="0" applyFont="1" applyFill="1" applyAlignment="1">
      <alignment vertical="top" wrapText="1"/>
    </xf>
    <xf numFmtId="0" fontId="98" fillId="4" borderId="0" xfId="0" applyFont="1" applyFill="1" applyAlignment="1">
      <alignment horizontal="center" vertical="top" wrapText="1"/>
    </xf>
    <xf numFmtId="0" fontId="98" fillId="4" borderId="0" xfId="0" applyFont="1" applyFill="1" applyAlignment="1">
      <alignment horizontal="left" vertical="top" wrapText="1"/>
    </xf>
    <xf numFmtId="0" fontId="99" fillId="4" borderId="0" xfId="0" applyFont="1" applyFill="1"/>
    <xf numFmtId="0" fontId="13" fillId="6" borderId="9" xfId="0" applyFont="1" applyFill="1" applyBorder="1" applyAlignment="1">
      <alignment horizontal="center" vertical="center" wrapText="1"/>
    </xf>
    <xf numFmtId="0" fontId="14" fillId="0" borderId="4" xfId="0" applyFont="1" applyBorder="1" applyAlignment="1">
      <alignment horizontal="left" vertical="center"/>
    </xf>
    <xf numFmtId="3" fontId="14" fillId="4" borderId="9" xfId="0" applyNumberFormat="1" applyFont="1" applyFill="1" applyBorder="1" applyAlignment="1">
      <alignment horizontal="left" vertical="center" wrapText="1"/>
    </xf>
    <xf numFmtId="0" fontId="0" fillId="4" borderId="28" xfId="0" applyFill="1" applyBorder="1"/>
    <xf numFmtId="0" fontId="0" fillId="4" borderId="22" xfId="0" applyFill="1" applyBorder="1"/>
    <xf numFmtId="4" fontId="14" fillId="4" borderId="13" xfId="0" applyNumberFormat="1" applyFont="1" applyFill="1" applyBorder="1" applyAlignment="1">
      <alignment horizontal="left" vertical="center" wrapText="1"/>
    </xf>
    <xf numFmtId="4" fontId="14" fillId="4" borderId="14" xfId="0" applyNumberFormat="1" applyFont="1" applyFill="1" applyBorder="1" applyAlignment="1">
      <alignment horizontal="left" vertical="center" wrapText="1"/>
    </xf>
    <xf numFmtId="4" fontId="14" fillId="4" borderId="6" xfId="0" applyNumberFormat="1" applyFont="1" applyFill="1" applyBorder="1" applyAlignment="1">
      <alignment horizontal="left" vertical="center" wrapText="1"/>
    </xf>
    <xf numFmtId="4" fontId="14" fillId="6" borderId="9" xfId="0" applyNumberFormat="1" applyFont="1" applyFill="1" applyBorder="1" applyAlignment="1">
      <alignment vertical="center" wrapText="1"/>
    </xf>
    <xf numFmtId="0" fontId="0" fillId="0" borderId="0" xfId="0" applyAlignment="1">
      <alignment wrapText="1"/>
    </xf>
    <xf numFmtId="0" fontId="77" fillId="4" borderId="0" xfId="0" applyFont="1" applyFill="1" applyAlignment="1">
      <alignment horizontal="center" wrapText="1"/>
    </xf>
    <xf numFmtId="44" fontId="17" fillId="4" borderId="0" xfId="5" applyFont="1" applyFill="1" applyBorder="1" applyAlignment="1">
      <alignment horizontal="right"/>
    </xf>
    <xf numFmtId="44" fontId="9" fillId="4" borderId="14" xfId="5" applyFont="1" applyFill="1" applyBorder="1" applyAlignment="1">
      <alignment horizontal="center" wrapText="1"/>
    </xf>
    <xf numFmtId="167" fontId="17" fillId="4" borderId="12" xfId="5" applyNumberFormat="1" applyFont="1" applyFill="1" applyBorder="1" applyAlignment="1">
      <alignment horizontal="right"/>
    </xf>
    <xf numFmtId="167" fontId="17" fillId="4" borderId="0" xfId="5" applyNumberFormat="1" applyFont="1" applyFill="1" applyBorder="1" applyAlignment="1">
      <alignment horizontal="right"/>
    </xf>
    <xf numFmtId="167" fontId="17" fillId="4" borderId="0" xfId="0" applyNumberFormat="1" applyFont="1" applyFill="1" applyAlignment="1">
      <alignment horizontal="right"/>
    </xf>
    <xf numFmtId="167" fontId="17" fillId="4" borderId="14" xfId="0" applyNumberFormat="1" applyFont="1" applyFill="1" applyBorder="1" applyAlignment="1">
      <alignment horizontal="right"/>
    </xf>
    <xf numFmtId="167" fontId="17" fillId="0" borderId="9" xfId="5" applyNumberFormat="1" applyFont="1" applyBorder="1" applyAlignment="1">
      <alignment horizontal="right"/>
    </xf>
    <xf numFmtId="0" fontId="0" fillId="0" borderId="0" xfId="0" applyAlignment="1">
      <alignment vertical="center" wrapText="1"/>
    </xf>
    <xf numFmtId="0" fontId="0" fillId="0" borderId="28" xfId="0" applyBorder="1"/>
    <xf numFmtId="44" fontId="0" fillId="6" borderId="9" xfId="5" applyFont="1" applyFill="1" applyBorder="1" applyAlignment="1">
      <alignment horizontal="center"/>
    </xf>
    <xf numFmtId="43" fontId="0" fillId="6" borderId="9" xfId="6" applyFont="1" applyFill="1" applyBorder="1" applyAlignment="1">
      <alignment horizontal="center"/>
    </xf>
    <xf numFmtId="192" fontId="56" fillId="4" borderId="0" xfId="0" applyNumberFormat="1" applyFont="1" applyFill="1" applyAlignment="1">
      <alignment horizontal="right" vertical="top"/>
    </xf>
    <xf numFmtId="167" fontId="14" fillId="6" borderId="9" xfId="0" applyNumberFormat="1" applyFont="1" applyFill="1" applyBorder="1" applyAlignment="1">
      <alignment horizontal="right" vertical="center" wrapText="1"/>
    </xf>
    <xf numFmtId="4" fontId="17" fillId="0" borderId="9" xfId="0" applyNumberFormat="1" applyFont="1" applyBorder="1"/>
    <xf numFmtId="4" fontId="17" fillId="0" borderId="12" xfId="0" applyNumberFormat="1" applyFont="1" applyBorder="1"/>
    <xf numFmtId="167" fontId="17" fillId="0" borderId="9" xfId="0" applyNumberFormat="1" applyFont="1" applyBorder="1" applyAlignment="1">
      <alignment wrapText="1"/>
    </xf>
    <xf numFmtId="4" fontId="17" fillId="0" borderId="9" xfId="0" applyNumberFormat="1" applyFont="1" applyBorder="1" applyAlignment="1">
      <alignment wrapText="1"/>
    </xf>
    <xf numFmtId="183" fontId="17" fillId="11" borderId="10" xfId="0" applyNumberFormat="1" applyFont="1" applyFill="1" applyBorder="1"/>
    <xf numFmtId="4" fontId="17" fillId="11" borderId="10" xfId="0" applyNumberFormat="1" applyFont="1" applyFill="1" applyBorder="1"/>
    <xf numFmtId="0" fontId="17" fillId="7" borderId="13" xfId="0" applyFont="1" applyFill="1" applyBorder="1"/>
    <xf numFmtId="167" fontId="17" fillId="4" borderId="9" xfId="5" applyNumberFormat="1" applyFont="1" applyFill="1" applyBorder="1" applyAlignment="1">
      <alignment horizontal="right"/>
    </xf>
    <xf numFmtId="0" fontId="17" fillId="0" borderId="9" xfId="0" applyFont="1" applyBorder="1" applyAlignment="1">
      <alignment wrapText="1"/>
    </xf>
    <xf numFmtId="4" fontId="17" fillId="0" borderId="9" xfId="0" applyNumberFormat="1" applyFont="1" applyBorder="1" applyAlignment="1">
      <alignment horizontal="right"/>
    </xf>
    <xf numFmtId="0" fontId="17" fillId="0" borderId="10" xfId="0" applyFont="1" applyBorder="1"/>
    <xf numFmtId="4" fontId="17" fillId="0" borderId="10" xfId="0" applyNumberFormat="1" applyFont="1" applyBorder="1" applyAlignment="1">
      <alignment horizontal="right"/>
    </xf>
    <xf numFmtId="167" fontId="17" fillId="0" borderId="12" xfId="5" applyNumberFormat="1" applyFont="1" applyFill="1" applyBorder="1" applyAlignment="1">
      <alignment horizontal="right"/>
    </xf>
    <xf numFmtId="167" fontId="17" fillId="0" borderId="9" xfId="5" applyNumberFormat="1" applyFont="1" applyFill="1" applyBorder="1" applyAlignment="1">
      <alignment horizontal="right"/>
    </xf>
    <xf numFmtId="167" fontId="17" fillId="0" borderId="12" xfId="0" applyNumberFormat="1" applyFont="1" applyBorder="1" applyAlignment="1">
      <alignment horizontal="right"/>
    </xf>
    <xf numFmtId="167" fontId="17" fillId="0" borderId="9" xfId="0" applyNumberFormat="1" applyFont="1" applyBorder="1" applyAlignment="1">
      <alignment horizontal="right"/>
    </xf>
    <xf numFmtId="0" fontId="0" fillId="0" borderId="9" xfId="0" applyBorder="1"/>
    <xf numFmtId="177" fontId="17" fillId="0" borderId="9" xfId="0" applyNumberFormat="1" applyFont="1" applyBorder="1"/>
    <xf numFmtId="0" fontId="36" fillId="4" borderId="12" xfId="0" applyFont="1" applyFill="1" applyBorder="1" applyAlignment="1">
      <alignment vertical="center" wrapText="1"/>
    </xf>
    <xf numFmtId="0" fontId="36" fillId="4" borderId="12" xfId="0" applyFont="1" applyFill="1" applyBorder="1" applyAlignment="1">
      <alignment vertical="center"/>
    </xf>
    <xf numFmtId="0" fontId="17" fillId="7" borderId="12" xfId="0" applyFont="1" applyFill="1" applyBorder="1"/>
    <xf numFmtId="0" fontId="86" fillId="4" borderId="4" xfId="0" applyFont="1" applyFill="1" applyBorder="1" applyAlignment="1">
      <alignment horizontal="center"/>
    </xf>
    <xf numFmtId="0" fontId="17" fillId="7" borderId="15" xfId="0" applyFont="1" applyFill="1" applyBorder="1"/>
    <xf numFmtId="183" fontId="17" fillId="4" borderId="13" xfId="0" applyNumberFormat="1" applyFont="1" applyFill="1" applyBorder="1"/>
    <xf numFmtId="183" fontId="17" fillId="4" borderId="6" xfId="0" applyNumberFormat="1" applyFont="1" applyFill="1" applyBorder="1"/>
    <xf numFmtId="167" fontId="17" fillId="4" borderId="4" xfId="0" applyNumberFormat="1" applyFont="1" applyFill="1" applyBorder="1"/>
    <xf numFmtId="0" fontId="0" fillId="0" borderId="1" xfId="0" applyBorder="1"/>
    <xf numFmtId="167" fontId="14" fillId="0" borderId="9" xfId="0" applyNumberFormat="1" applyFont="1" applyBorder="1" applyAlignment="1">
      <alignment wrapText="1"/>
    </xf>
    <xf numFmtId="0" fontId="60" fillId="6" borderId="9" xfId="7" applyFont="1" applyFill="1" applyBorder="1" applyAlignment="1">
      <alignment horizontal="left" vertical="center" wrapText="1"/>
    </xf>
    <xf numFmtId="3" fontId="60" fillId="6" borderId="9" xfId="7" applyNumberFormat="1" applyFont="1" applyFill="1" applyBorder="1" applyAlignment="1">
      <alignment horizontal="right" vertical="center" wrapText="1"/>
    </xf>
    <xf numFmtId="193" fontId="17" fillId="4" borderId="12" xfId="0" applyNumberFormat="1" applyFont="1" applyFill="1" applyBorder="1" applyAlignment="1">
      <alignment horizontal="right"/>
    </xf>
    <xf numFmtId="193" fontId="17" fillId="4" borderId="9" xfId="0" applyNumberFormat="1" applyFont="1" applyFill="1" applyBorder="1" applyAlignment="1">
      <alignment horizontal="right"/>
    </xf>
    <xf numFmtId="0" fontId="87" fillId="0" borderId="0" xfId="0" applyFont="1" applyAlignment="1">
      <alignment horizontal="center"/>
    </xf>
    <xf numFmtId="0" fontId="22" fillId="0" borderId="9" xfId="0" applyFont="1" applyBorder="1"/>
    <xf numFmtId="0" fontId="0" fillId="0" borderId="12" xfId="0" applyBorder="1"/>
    <xf numFmtId="11" fontId="22" fillId="0" borderId="9" xfId="0" applyNumberFormat="1" applyFont="1" applyBorder="1"/>
    <xf numFmtId="11" fontId="0" fillId="0" borderId="9" xfId="0" applyNumberFormat="1" applyBorder="1"/>
    <xf numFmtId="0" fontId="17" fillId="0" borderId="4" xfId="0" applyFont="1" applyBorder="1"/>
    <xf numFmtId="0" fontId="2" fillId="4" borderId="6" xfId="2" applyFill="1" applyBorder="1" applyAlignment="1">
      <alignment vertical="center"/>
    </xf>
    <xf numFmtId="0" fontId="2" fillId="4" borderId="7" xfId="2" applyFill="1" applyBorder="1" applyAlignment="1">
      <alignment vertical="center"/>
    </xf>
    <xf numFmtId="0" fontId="18" fillId="4" borderId="7" xfId="0" applyFont="1" applyFill="1" applyBorder="1" applyAlignment="1">
      <alignment vertical="center"/>
    </xf>
    <xf numFmtId="0" fontId="104" fillId="0" borderId="0" xfId="0" applyFont="1"/>
    <xf numFmtId="3" fontId="17" fillId="16" borderId="9" xfId="0" applyNumberFormat="1" applyFont="1" applyFill="1" applyBorder="1"/>
    <xf numFmtId="183" fontId="17" fillId="16" borderId="9" xfId="0" applyNumberFormat="1" applyFont="1" applyFill="1" applyBorder="1"/>
    <xf numFmtId="0" fontId="0" fillId="0" borderId="0" xfId="0" applyAlignment="1">
      <alignment vertical="top" wrapText="1"/>
    </xf>
    <xf numFmtId="3" fontId="14" fillId="16" borderId="9" xfId="0" applyNumberFormat="1" applyFont="1" applyFill="1" applyBorder="1" applyAlignment="1">
      <alignment horizontal="right" vertical="top" wrapText="1"/>
    </xf>
    <xf numFmtId="0" fontId="17" fillId="19" borderId="9" xfId="0" applyFont="1" applyFill="1" applyBorder="1" applyAlignment="1">
      <alignment wrapText="1"/>
    </xf>
    <xf numFmtId="186" fontId="17" fillId="19" borderId="9" xfId="0" applyNumberFormat="1" applyFont="1" applyFill="1" applyBorder="1"/>
    <xf numFmtId="167" fontId="17" fillId="19" borderId="9" xfId="0" applyNumberFormat="1" applyFont="1" applyFill="1" applyBorder="1"/>
    <xf numFmtId="169" fontId="17" fillId="19" borderId="9" xfId="0" applyNumberFormat="1" applyFont="1" applyFill="1" applyBorder="1"/>
    <xf numFmtId="183" fontId="14" fillId="19" borderId="9" xfId="0" applyNumberFormat="1" applyFont="1" applyFill="1" applyBorder="1"/>
    <xf numFmtId="183" fontId="14" fillId="19" borderId="12" xfId="0" applyNumberFormat="1" applyFont="1" applyFill="1" applyBorder="1"/>
    <xf numFmtId="167" fontId="14" fillId="19" borderId="12" xfId="0" applyNumberFormat="1" applyFont="1" applyFill="1" applyBorder="1"/>
    <xf numFmtId="167" fontId="17" fillId="19" borderId="13" xfId="0" applyNumberFormat="1" applyFont="1" applyFill="1" applyBorder="1"/>
    <xf numFmtId="177" fontId="17" fillId="0" borderId="12" xfId="0" applyNumberFormat="1" applyFont="1" applyBorder="1"/>
    <xf numFmtId="177" fontId="14" fillId="0" borderId="12" xfId="0" applyNumberFormat="1" applyFont="1" applyBorder="1"/>
    <xf numFmtId="167" fontId="17" fillId="19" borderId="9" xfId="5" applyNumberFormat="1" applyFont="1" applyFill="1" applyBorder="1" applyAlignment="1">
      <alignment wrapText="1"/>
    </xf>
    <xf numFmtId="194" fontId="17" fillId="0" borderId="9" xfId="0" applyNumberFormat="1" applyFont="1" applyBorder="1" applyAlignment="1">
      <alignment wrapText="1"/>
    </xf>
    <xf numFmtId="177" fontId="17" fillId="4" borderId="13" xfId="0" applyNumberFormat="1" applyFont="1" applyFill="1" applyBorder="1"/>
    <xf numFmtId="0" fontId="105" fillId="0" borderId="9" xfId="2" applyFont="1" applyBorder="1"/>
    <xf numFmtId="177" fontId="105" fillId="4" borderId="9" xfId="2" applyNumberFormat="1" applyFont="1" applyFill="1" applyBorder="1" applyAlignment="1"/>
    <xf numFmtId="177" fontId="105" fillId="4" borderId="9" xfId="2" applyNumberFormat="1" applyFont="1" applyFill="1" applyBorder="1"/>
    <xf numFmtId="0" fontId="14" fillId="4" borderId="5" xfId="0" applyFont="1" applyFill="1" applyBorder="1" applyAlignment="1">
      <alignment horizontal="left" vertical="top" wrapText="1" indent="2"/>
    </xf>
    <xf numFmtId="177" fontId="17" fillId="0" borderId="13" xfId="0" applyNumberFormat="1" applyFont="1" applyBorder="1"/>
    <xf numFmtId="3" fontId="17" fillId="4" borderId="5" xfId="0" applyNumberFormat="1" applyFont="1" applyFill="1" applyBorder="1"/>
    <xf numFmtId="4" fontId="105" fillId="4" borderId="13" xfId="2" applyNumberFormat="1" applyFont="1" applyFill="1" applyBorder="1" applyAlignment="1"/>
    <xf numFmtId="0" fontId="105" fillId="0" borderId="14" xfId="2" applyFont="1" applyBorder="1" applyAlignment="1"/>
    <xf numFmtId="0" fontId="105" fillId="0" borderId="15" xfId="2" applyFont="1" applyBorder="1" applyAlignment="1"/>
    <xf numFmtId="0" fontId="17" fillId="4" borderId="5" xfId="0" applyFont="1" applyFill="1" applyBorder="1" applyAlignment="1">
      <alignment horizontal="left" vertical="top" wrapText="1"/>
    </xf>
    <xf numFmtId="177" fontId="105" fillId="4" borderId="13" xfId="2" applyNumberFormat="1" applyFont="1" applyFill="1" applyBorder="1"/>
    <xf numFmtId="0" fontId="2" fillId="0" borderId="0" xfId="2" applyFill="1" applyAlignment="1">
      <alignment horizontal="center"/>
    </xf>
    <xf numFmtId="0" fontId="14" fillId="0" borderId="9" xfId="0" applyFont="1" applyBorder="1"/>
    <xf numFmtId="0" fontId="17" fillId="0" borderId="12" xfId="0" applyFont="1" applyBorder="1"/>
    <xf numFmtId="0" fontId="14" fillId="0" borderId="12" xfId="0" applyFont="1" applyBorder="1"/>
    <xf numFmtId="3" fontId="14" fillId="0" borderId="12" xfId="0" applyNumberFormat="1" applyFont="1" applyBorder="1"/>
    <xf numFmtId="4" fontId="14" fillId="0" borderId="13" xfId="0" applyNumberFormat="1" applyFont="1" applyBorder="1" applyAlignment="1">
      <alignment horizontal="right" vertical="top" wrapText="1"/>
    </xf>
    <xf numFmtId="0" fontId="0" fillId="0" borderId="34" xfId="0" applyBorder="1" applyAlignment="1">
      <alignment wrapText="1"/>
    </xf>
    <xf numFmtId="0" fontId="0" fillId="16" borderId="37" xfId="0" applyFill="1" applyBorder="1" applyAlignment="1">
      <alignment wrapText="1"/>
    </xf>
    <xf numFmtId="0" fontId="51" fillId="17" borderId="36" xfId="0" applyFont="1" applyFill="1" applyBorder="1" applyAlignment="1">
      <alignment wrapText="1"/>
    </xf>
    <xf numFmtId="9" fontId="14" fillId="4" borderId="4" xfId="4" applyFont="1" applyFill="1" applyBorder="1" applyAlignment="1">
      <alignment horizontal="left" vertical="top"/>
    </xf>
    <xf numFmtId="0" fontId="2" fillId="4" borderId="4" xfId="2" applyFill="1" applyBorder="1" applyAlignment="1">
      <alignment horizontal="left" vertical="top"/>
    </xf>
    <xf numFmtId="0" fontId="12" fillId="4" borderId="4" xfId="0" applyFont="1" applyFill="1" applyBorder="1" applyAlignment="1">
      <alignment horizontal="left" vertical="top"/>
    </xf>
    <xf numFmtId="44" fontId="14" fillId="4" borderId="4" xfId="5" applyFont="1" applyFill="1" applyBorder="1" applyAlignment="1">
      <alignment horizontal="left" vertical="top"/>
    </xf>
    <xf numFmtId="44" fontId="14" fillId="4" borderId="0" xfId="5" applyFont="1" applyFill="1" applyAlignment="1">
      <alignment horizontal="left" vertical="top"/>
    </xf>
    <xf numFmtId="44" fontId="14" fillId="4" borderId="4" xfId="5" applyFont="1" applyFill="1" applyBorder="1" applyAlignment="1">
      <alignment horizontal="right" vertical="top"/>
    </xf>
    <xf numFmtId="0" fontId="2" fillId="4" borderId="0" xfId="2" applyFill="1" applyAlignment="1">
      <alignment horizontal="left" vertical="top"/>
    </xf>
    <xf numFmtId="0" fontId="0" fillId="4" borderId="23" xfId="0" applyFill="1" applyBorder="1"/>
    <xf numFmtId="0" fontId="14" fillId="4" borderId="47" xfId="0" applyFont="1" applyFill="1" applyBorder="1" applyAlignment="1">
      <alignment horizontal="left" vertical="top"/>
    </xf>
    <xf numFmtId="0" fontId="14" fillId="4" borderId="48" xfId="0" applyFont="1" applyFill="1" applyBorder="1" applyAlignment="1">
      <alignment horizontal="left" vertical="top"/>
    </xf>
    <xf numFmtId="0" fontId="13" fillId="4" borderId="48" xfId="0" applyFont="1" applyFill="1" applyBorder="1" applyAlignment="1">
      <alignment horizontal="left" vertical="top"/>
    </xf>
    <xf numFmtId="0" fontId="13" fillId="4" borderId="49" xfId="0" applyFont="1" applyFill="1" applyBorder="1" applyAlignment="1">
      <alignment horizontal="left" vertical="top"/>
    </xf>
    <xf numFmtId="0" fontId="13" fillId="4" borderId="50" xfId="0" applyFont="1" applyFill="1" applyBorder="1" applyAlignment="1">
      <alignment horizontal="left" vertical="top"/>
    </xf>
    <xf numFmtId="0" fontId="13" fillId="4" borderId="51" xfId="0" applyFont="1" applyFill="1" applyBorder="1" applyAlignment="1">
      <alignment horizontal="left" vertical="top"/>
    </xf>
    <xf numFmtId="0" fontId="13" fillId="4" borderId="44" xfId="0" applyFont="1" applyFill="1" applyBorder="1" applyAlignment="1">
      <alignment horizontal="left" vertical="top"/>
    </xf>
    <xf numFmtId="0" fontId="13" fillId="4" borderId="42" xfId="0" applyFont="1" applyFill="1" applyBorder="1" applyAlignment="1">
      <alignment horizontal="left" vertical="top"/>
    </xf>
    <xf numFmtId="183" fontId="13" fillId="4" borderId="43" xfId="0" applyNumberFormat="1" applyFont="1" applyFill="1" applyBorder="1" applyAlignment="1">
      <alignment horizontal="left" vertical="top"/>
    </xf>
    <xf numFmtId="0" fontId="13" fillId="4" borderId="43" xfId="0" applyFont="1" applyFill="1" applyBorder="1" applyAlignment="1">
      <alignment horizontal="left" vertical="top"/>
    </xf>
    <xf numFmtId="0" fontId="13" fillId="4" borderId="52" xfId="0" applyFont="1" applyFill="1" applyBorder="1" applyAlignment="1">
      <alignment horizontal="left" vertical="top"/>
    </xf>
    <xf numFmtId="0" fontId="14" fillId="4" borderId="9" xfId="0" applyFont="1" applyFill="1" applyBorder="1" applyAlignment="1">
      <alignment horizontal="left" vertical="top"/>
    </xf>
    <xf numFmtId="0" fontId="14" fillId="4" borderId="44" xfId="0" applyFont="1" applyFill="1" applyBorder="1" applyAlignment="1">
      <alignment horizontal="left" vertical="top"/>
    </xf>
    <xf numFmtId="0" fontId="14" fillId="4" borderId="24" xfId="0" applyFont="1" applyFill="1" applyBorder="1" applyAlignment="1">
      <alignment horizontal="left" vertical="top"/>
    </xf>
    <xf numFmtId="0" fontId="13" fillId="4" borderId="25" xfId="0" applyFont="1" applyFill="1" applyBorder="1" applyAlignment="1">
      <alignment horizontal="left" vertical="top"/>
    </xf>
    <xf numFmtId="0" fontId="13" fillId="4" borderId="56" xfId="0" applyFont="1" applyFill="1" applyBorder="1" applyAlignment="1">
      <alignment horizontal="left" vertical="center"/>
    </xf>
    <xf numFmtId="0" fontId="13" fillId="4" borderId="57" xfId="0" applyFont="1" applyFill="1" applyBorder="1" applyAlignment="1">
      <alignment horizontal="left" vertical="center"/>
    </xf>
    <xf numFmtId="0" fontId="13" fillId="4" borderId="58" xfId="0" applyFont="1" applyFill="1" applyBorder="1" applyAlignment="1">
      <alignment horizontal="left" vertical="center"/>
    </xf>
    <xf numFmtId="0" fontId="14" fillId="4" borderId="24" xfId="0" applyFont="1" applyFill="1" applyBorder="1" applyAlignment="1">
      <alignment horizontal="right" vertical="top"/>
    </xf>
    <xf numFmtId="183" fontId="13" fillId="4" borderId="59" xfId="0" applyNumberFormat="1" applyFont="1" applyFill="1" applyBorder="1" applyAlignment="1">
      <alignment horizontal="left" vertical="center"/>
    </xf>
    <xf numFmtId="0" fontId="13" fillId="4" borderId="60" xfId="0" applyFont="1" applyFill="1" applyBorder="1" applyAlignment="1">
      <alignment horizontal="left" vertical="center"/>
    </xf>
    <xf numFmtId="0" fontId="13" fillId="4" borderId="61" xfId="0" applyFont="1" applyFill="1" applyBorder="1" applyAlignment="1">
      <alignment horizontal="left" vertical="center"/>
    </xf>
    <xf numFmtId="183" fontId="13" fillId="4" borderId="62" xfId="0" applyNumberFormat="1" applyFont="1" applyFill="1" applyBorder="1" applyAlignment="1">
      <alignment horizontal="left" vertical="center"/>
    </xf>
    <xf numFmtId="0" fontId="13" fillId="4" borderId="16" xfId="0" applyFont="1" applyFill="1" applyBorder="1" applyAlignment="1">
      <alignment horizontal="left" vertical="center"/>
    </xf>
    <xf numFmtId="0" fontId="13" fillId="4" borderId="63" xfId="0" applyFont="1" applyFill="1" applyBorder="1" applyAlignment="1">
      <alignment horizontal="left" vertical="center"/>
    </xf>
    <xf numFmtId="0" fontId="14" fillId="4" borderId="26" xfId="0" applyFont="1" applyFill="1" applyBorder="1" applyAlignment="1">
      <alignment vertical="top"/>
    </xf>
    <xf numFmtId="0" fontId="14" fillId="4" borderId="33" xfId="0" applyFont="1" applyFill="1" applyBorder="1" applyAlignment="1">
      <alignment vertical="top"/>
    </xf>
    <xf numFmtId="0" fontId="13" fillId="4" borderId="24" xfId="0" applyFont="1" applyFill="1" applyBorder="1" applyAlignment="1">
      <alignment horizontal="left" vertical="top"/>
    </xf>
    <xf numFmtId="0" fontId="13" fillId="4" borderId="64" xfId="0" applyFont="1" applyFill="1" applyBorder="1" applyAlignment="1">
      <alignment horizontal="left" vertical="top"/>
    </xf>
    <xf numFmtId="0" fontId="13" fillId="4" borderId="65" xfId="0" applyFont="1" applyFill="1" applyBorder="1" applyAlignment="1">
      <alignment horizontal="left" vertical="top"/>
    </xf>
    <xf numFmtId="0" fontId="13" fillId="4" borderId="66" xfId="0" applyFont="1" applyFill="1" applyBorder="1" applyAlignment="1">
      <alignment horizontal="left" vertical="top"/>
    </xf>
    <xf numFmtId="0" fontId="14" fillId="4" borderId="26" xfId="0" applyFont="1" applyFill="1" applyBorder="1" applyAlignment="1">
      <alignment horizontal="left" vertical="top"/>
    </xf>
    <xf numFmtId="0" fontId="14" fillId="4" borderId="33" xfId="0" applyFont="1" applyFill="1" applyBorder="1" applyAlignment="1">
      <alignment horizontal="left" vertical="top"/>
    </xf>
    <xf numFmtId="0" fontId="13" fillId="4" borderId="26" xfId="0" applyFont="1" applyFill="1" applyBorder="1" applyAlignment="1">
      <alignment horizontal="left" vertical="top"/>
    </xf>
    <xf numFmtId="0" fontId="13" fillId="4" borderId="33" xfId="0" applyFont="1" applyFill="1" applyBorder="1" applyAlignment="1">
      <alignment horizontal="left" vertical="top"/>
    </xf>
    <xf numFmtId="0" fontId="13" fillId="4" borderId="27" xfId="0" applyFont="1" applyFill="1" applyBorder="1" applyAlignment="1">
      <alignment horizontal="left" vertical="top"/>
    </xf>
    <xf numFmtId="0" fontId="13" fillId="4" borderId="33" xfId="0" applyFont="1" applyFill="1" applyBorder="1" applyAlignment="1">
      <alignment horizontal="center" vertical="top"/>
    </xf>
    <xf numFmtId="0" fontId="0" fillId="0" borderId="67" xfId="0" applyBorder="1"/>
    <xf numFmtId="0" fontId="108" fillId="4" borderId="0" xfId="0" applyFont="1" applyFill="1" applyAlignment="1">
      <alignment horizontal="center" vertical="top"/>
    </xf>
    <xf numFmtId="0" fontId="109" fillId="6" borderId="9" xfId="0" applyFont="1" applyFill="1" applyBorder="1" applyAlignment="1">
      <alignment horizontal="left" vertical="center" wrapText="1"/>
    </xf>
    <xf numFmtId="195" fontId="14" fillId="6" borderId="9" xfId="0" applyNumberFormat="1" applyFont="1" applyFill="1" applyBorder="1" applyAlignment="1">
      <alignment horizontal="right" vertical="center" wrapText="1"/>
    </xf>
    <xf numFmtId="4" fontId="14" fillId="6" borderId="9" xfId="0" applyNumberFormat="1" applyFont="1" applyFill="1" applyBorder="1" applyAlignment="1">
      <alignment horizontal="right" vertical="center" wrapText="1"/>
    </xf>
    <xf numFmtId="187" fontId="14" fillId="6" borderId="9" xfId="0" applyNumberFormat="1" applyFont="1" applyFill="1" applyBorder="1" applyAlignment="1">
      <alignment horizontal="right" vertical="center" wrapText="1"/>
    </xf>
    <xf numFmtId="186" fontId="14" fillId="6" borderId="9" xfId="0" applyNumberFormat="1" applyFont="1" applyFill="1" applyBorder="1" applyAlignment="1">
      <alignment horizontal="right" vertical="center" wrapText="1"/>
    </xf>
    <xf numFmtId="196" fontId="14" fillId="6" borderId="9" xfId="0" applyNumberFormat="1" applyFont="1" applyFill="1" applyBorder="1" applyAlignment="1">
      <alignment horizontal="right" vertical="center" wrapText="1"/>
    </xf>
    <xf numFmtId="194" fontId="14" fillId="6" borderId="9" xfId="0" applyNumberFormat="1" applyFont="1" applyFill="1" applyBorder="1" applyAlignment="1">
      <alignment horizontal="right" vertical="center" wrapText="1"/>
    </xf>
    <xf numFmtId="197" fontId="14" fillId="4" borderId="9" xfId="0" applyNumberFormat="1" applyFont="1" applyFill="1" applyBorder="1" applyAlignment="1">
      <alignment horizontal="right" vertical="center" wrapText="1"/>
    </xf>
    <xf numFmtId="0" fontId="14" fillId="20" borderId="0" xfId="0" applyFont="1" applyFill="1" applyAlignment="1">
      <alignment horizontal="right" vertical="top"/>
    </xf>
    <xf numFmtId="0" fontId="14" fillId="20" borderId="0" xfId="0" applyFont="1" applyFill="1" applyAlignment="1">
      <alignment horizontal="left" vertical="top"/>
    </xf>
    <xf numFmtId="0" fontId="13" fillId="20" borderId="0" xfId="0" applyFont="1" applyFill="1" applyAlignment="1">
      <alignment horizontal="left" vertical="top"/>
    </xf>
    <xf numFmtId="0" fontId="14" fillId="20" borderId="4" xfId="0" applyFont="1" applyFill="1" applyBorder="1" applyAlignment="1">
      <alignment horizontal="left" vertical="top"/>
    </xf>
    <xf numFmtId="179" fontId="17" fillId="6" borderId="12" xfId="0" applyNumberFormat="1" applyFont="1" applyFill="1" applyBorder="1" applyAlignment="1">
      <alignment horizontal="right"/>
    </xf>
    <xf numFmtId="0" fontId="14" fillId="4" borderId="71" xfId="0" applyFont="1" applyFill="1" applyBorder="1" applyAlignment="1">
      <alignment horizontal="left" vertical="top"/>
    </xf>
    <xf numFmtId="0" fontId="14" fillId="4" borderId="57" xfId="0" applyFont="1" applyFill="1" applyBorder="1" applyAlignment="1">
      <alignment horizontal="left" vertical="top"/>
    </xf>
    <xf numFmtId="0" fontId="13" fillId="4" borderId="57" xfId="0" applyFont="1" applyFill="1" applyBorder="1" applyAlignment="1">
      <alignment horizontal="left" vertical="top"/>
    </xf>
    <xf numFmtId="0" fontId="13" fillId="4" borderId="72" xfId="0" applyFont="1" applyFill="1" applyBorder="1" applyAlignment="1">
      <alignment horizontal="left" vertical="top"/>
    </xf>
    <xf numFmtId="0" fontId="13" fillId="4" borderId="73" xfId="0" applyFont="1" applyFill="1" applyBorder="1" applyAlignment="1">
      <alignment horizontal="left" vertical="top"/>
    </xf>
    <xf numFmtId="0" fontId="13" fillId="4" borderId="74" xfId="0" applyFont="1" applyFill="1" applyBorder="1" applyAlignment="1">
      <alignment horizontal="left" vertical="center"/>
    </xf>
    <xf numFmtId="0" fontId="14" fillId="4" borderId="75" xfId="0" applyFont="1" applyFill="1" applyBorder="1" applyAlignment="1">
      <alignment horizontal="left" vertical="top"/>
    </xf>
    <xf numFmtId="0" fontId="13" fillId="4" borderId="76" xfId="0" applyFont="1" applyFill="1" applyBorder="1" applyAlignment="1">
      <alignment horizontal="left" vertical="top"/>
    </xf>
    <xf numFmtId="183" fontId="13" fillId="4" borderId="20" xfId="0" applyNumberFormat="1" applyFont="1" applyFill="1" applyBorder="1" applyAlignment="1">
      <alignment horizontal="left" vertical="center"/>
    </xf>
    <xf numFmtId="183" fontId="13" fillId="4" borderId="77" xfId="0" applyNumberFormat="1" applyFont="1" applyFill="1" applyBorder="1" applyAlignment="1">
      <alignment horizontal="left" vertical="center"/>
    </xf>
    <xf numFmtId="183" fontId="13" fillId="4" borderId="60" xfId="0" applyNumberFormat="1" applyFont="1" applyFill="1" applyBorder="1" applyAlignment="1">
      <alignment horizontal="left" vertical="center"/>
    </xf>
    <xf numFmtId="0" fontId="13" fillId="4" borderId="78" xfId="0" applyFont="1" applyFill="1" applyBorder="1" applyAlignment="1">
      <alignment horizontal="left" vertical="top"/>
    </xf>
    <xf numFmtId="0" fontId="13" fillId="4" borderId="79" xfId="0" applyFont="1" applyFill="1" applyBorder="1" applyAlignment="1">
      <alignment horizontal="left" vertical="top"/>
    </xf>
    <xf numFmtId="0" fontId="13" fillId="4" borderId="80" xfId="0" applyFont="1" applyFill="1" applyBorder="1" applyAlignment="1">
      <alignment horizontal="left" vertical="top"/>
    </xf>
    <xf numFmtId="0" fontId="13" fillId="4" borderId="81" xfId="0" applyFont="1" applyFill="1" applyBorder="1" applyAlignment="1">
      <alignment horizontal="left" vertical="top"/>
    </xf>
    <xf numFmtId="0" fontId="13" fillId="4" borderId="82" xfId="0" applyFont="1" applyFill="1" applyBorder="1" applyAlignment="1">
      <alignment horizontal="left" vertical="top"/>
    </xf>
    <xf numFmtId="0" fontId="14" fillId="4" borderId="80" xfId="0" applyFont="1" applyFill="1" applyBorder="1" applyAlignment="1">
      <alignment horizontal="left" vertical="top"/>
    </xf>
    <xf numFmtId="0" fontId="14" fillId="4" borderId="81" xfId="0" applyFont="1" applyFill="1" applyBorder="1" applyAlignment="1">
      <alignment horizontal="left" vertical="top"/>
    </xf>
    <xf numFmtId="0" fontId="14" fillId="4" borderId="75" xfId="0" applyFont="1" applyFill="1" applyBorder="1" applyAlignment="1">
      <alignment horizontal="right" vertical="top"/>
    </xf>
    <xf numFmtId="0" fontId="14" fillId="4" borderId="75" xfId="0" applyFont="1" applyFill="1" applyBorder="1" applyAlignment="1">
      <alignment vertical="top"/>
    </xf>
    <xf numFmtId="0" fontId="14" fillId="4" borderId="76" xfId="0" applyFont="1" applyFill="1" applyBorder="1" applyAlignment="1">
      <alignment vertical="top"/>
    </xf>
    <xf numFmtId="0" fontId="14" fillId="4" borderId="80" xfId="0" applyFont="1" applyFill="1" applyBorder="1" applyAlignment="1">
      <alignment vertical="top"/>
    </xf>
    <xf numFmtId="0" fontId="14" fillId="4" borderId="81" xfId="0" applyFont="1" applyFill="1" applyBorder="1" applyAlignment="1">
      <alignment vertical="top"/>
    </xf>
    <xf numFmtId="0" fontId="14" fillId="4" borderId="82" xfId="0" applyFont="1" applyFill="1" applyBorder="1" applyAlignment="1">
      <alignment vertical="top"/>
    </xf>
    <xf numFmtId="0" fontId="14" fillId="0" borderId="4" xfId="0" applyFont="1" applyBorder="1" applyAlignment="1">
      <alignment horizontal="left" vertical="top"/>
    </xf>
    <xf numFmtId="0" fontId="14" fillId="0" borderId="0" xfId="0" applyFont="1" applyAlignment="1">
      <alignment horizontal="left" vertical="top"/>
    </xf>
    <xf numFmtId="0" fontId="13" fillId="0" borderId="0" xfId="0" applyFont="1" applyAlignment="1">
      <alignment horizontal="left" vertical="top"/>
    </xf>
    <xf numFmtId="0" fontId="68" fillId="0" borderId="4" xfId="0" applyFont="1" applyBorder="1" applyAlignment="1">
      <alignment horizontal="left" vertical="top"/>
    </xf>
    <xf numFmtId="0" fontId="14" fillId="0" borderId="0" xfId="0" applyFont="1" applyAlignment="1">
      <alignment horizontal="right" vertical="top"/>
    </xf>
    <xf numFmtId="0" fontId="17" fillId="20" borderId="4" xfId="0" applyFont="1" applyFill="1" applyBorder="1"/>
    <xf numFmtId="0" fontId="17" fillId="20" borderId="0" xfId="0" applyFont="1" applyFill="1"/>
    <xf numFmtId="0" fontId="48" fillId="0" borderId="0" xfId="0" applyFont="1"/>
    <xf numFmtId="198" fontId="14" fillId="6" borderId="9" xfId="0" applyNumberFormat="1" applyFont="1" applyFill="1" applyBorder="1" applyAlignment="1">
      <alignment horizontal="right" vertical="top" wrapText="1"/>
    </xf>
    <xf numFmtId="44" fontId="14" fillId="4" borderId="4" xfId="0" applyNumberFormat="1" applyFont="1" applyFill="1" applyBorder="1" applyAlignment="1">
      <alignment horizontal="left" vertical="top"/>
    </xf>
    <xf numFmtId="44" fontId="54" fillId="4" borderId="4" xfId="5" applyFont="1" applyFill="1" applyBorder="1" applyAlignment="1">
      <alignment horizontal="left" vertical="top"/>
    </xf>
    <xf numFmtId="44" fontId="112" fillId="4" borderId="4" xfId="2" applyNumberFormat="1" applyFont="1" applyFill="1" applyBorder="1" applyAlignment="1">
      <alignment horizontal="left" vertical="top"/>
    </xf>
    <xf numFmtId="0" fontId="89" fillId="4" borderId="0" xfId="0" applyFont="1" applyFill="1" applyAlignment="1">
      <alignment horizontal="left" vertical="top"/>
    </xf>
    <xf numFmtId="44" fontId="14" fillId="4" borderId="9" xfId="5" applyFont="1" applyFill="1" applyBorder="1" applyAlignment="1">
      <alignment horizontal="center" vertical="center"/>
    </xf>
    <xf numFmtId="44" fontId="14" fillId="4" borderId="9" xfId="5" applyFont="1" applyFill="1" applyBorder="1" applyAlignment="1">
      <alignment horizontal="left" vertical="top"/>
    </xf>
    <xf numFmtId="44" fontId="14" fillId="4" borderId="9" xfId="5" applyFont="1" applyFill="1" applyBorder="1" applyAlignment="1">
      <alignment horizontal="left" vertical="top" wrapText="1"/>
    </xf>
    <xf numFmtId="44" fontId="14" fillId="20" borderId="4" xfId="5" applyFont="1" applyFill="1" applyBorder="1" applyAlignment="1">
      <alignment horizontal="left" vertical="top"/>
    </xf>
    <xf numFmtId="44" fontId="14" fillId="4" borderId="6" xfId="5" applyFont="1" applyFill="1" applyBorder="1" applyAlignment="1">
      <alignment horizontal="left" vertical="top"/>
    </xf>
    <xf numFmtId="0" fontId="0" fillId="0" borderId="2" xfId="0" applyBorder="1"/>
    <xf numFmtId="187" fontId="17" fillId="6" borderId="9" xfId="0" applyNumberFormat="1" applyFont="1" applyFill="1" applyBorder="1" applyAlignment="1">
      <alignment vertical="center"/>
    </xf>
    <xf numFmtId="199" fontId="17" fillId="6" borderId="9" xfId="0" applyNumberFormat="1" applyFont="1" applyFill="1" applyBorder="1" applyAlignment="1">
      <alignment vertical="center"/>
    </xf>
    <xf numFmtId="200" fontId="14" fillId="4" borderId="9" xfId="0" quotePrefix="1" applyNumberFormat="1" applyFont="1" applyFill="1" applyBorder="1" applyAlignment="1">
      <alignment horizontal="left" vertical="center" wrapText="1"/>
    </xf>
    <xf numFmtId="200" fontId="14" fillId="6" borderId="9" xfId="0" quotePrefix="1" applyNumberFormat="1" applyFont="1" applyFill="1" applyBorder="1" applyAlignment="1">
      <alignment horizontal="right" vertical="center" wrapText="1"/>
    </xf>
    <xf numFmtId="0" fontId="5" fillId="4" borderId="28" xfId="0" applyFont="1" applyFill="1" applyBorder="1" applyAlignment="1">
      <alignment horizontal="left" vertical="top"/>
    </xf>
    <xf numFmtId="0" fontId="6" fillId="4" borderId="23" xfId="0" applyFont="1" applyFill="1" applyBorder="1"/>
    <xf numFmtId="0" fontId="5" fillId="4" borderId="24" xfId="0" applyFont="1" applyFill="1" applyBorder="1" applyAlignment="1">
      <alignment horizontal="left" vertical="top"/>
    </xf>
    <xf numFmtId="0" fontId="6" fillId="4" borderId="25" xfId="0" applyFont="1" applyFill="1" applyBorder="1"/>
    <xf numFmtId="0" fontId="51" fillId="4" borderId="24" xfId="0" applyFont="1" applyFill="1" applyBorder="1"/>
    <xf numFmtId="0" fontId="51" fillId="4" borderId="4" xfId="0" applyFont="1" applyFill="1" applyBorder="1"/>
    <xf numFmtId="176" fontId="0" fillId="12" borderId="9" xfId="0" applyNumberFormat="1" applyFill="1" applyBorder="1"/>
    <xf numFmtId="179" fontId="17" fillId="4" borderId="10" xfId="0" applyNumberFormat="1" applyFont="1" applyFill="1" applyBorder="1" applyAlignment="1">
      <alignment horizontal="right" vertical="top"/>
    </xf>
    <xf numFmtId="167" fontId="17" fillId="4" borderId="10" xfId="0" applyNumberFormat="1" applyFont="1" applyFill="1" applyBorder="1" applyAlignment="1">
      <alignment horizontal="right" vertical="top"/>
    </xf>
    <xf numFmtId="184" fontId="17" fillId="4" borderId="10" xfId="0" applyNumberFormat="1" applyFont="1" applyFill="1" applyBorder="1" applyAlignment="1">
      <alignment horizontal="right" vertical="top"/>
    </xf>
    <xf numFmtId="179" fontId="17" fillId="4" borderId="2" xfId="0" applyNumberFormat="1" applyFont="1" applyFill="1" applyBorder="1" applyAlignment="1">
      <alignment horizontal="right" vertical="top"/>
    </xf>
    <xf numFmtId="184" fontId="17" fillId="4" borderId="2" xfId="0" applyNumberFormat="1" applyFont="1" applyFill="1" applyBorder="1" applyAlignment="1">
      <alignment horizontal="right" vertical="top"/>
    </xf>
    <xf numFmtId="179" fontId="17" fillId="4" borderId="1" xfId="0" applyNumberFormat="1" applyFont="1" applyFill="1" applyBorder="1" applyAlignment="1">
      <alignment horizontal="right" vertical="top"/>
    </xf>
    <xf numFmtId="184" fontId="17" fillId="4" borderId="3" xfId="0" applyNumberFormat="1" applyFont="1" applyFill="1" applyBorder="1" applyAlignment="1">
      <alignment horizontal="right" vertical="top"/>
    </xf>
    <xf numFmtId="0" fontId="11" fillId="3" borderId="7" xfId="0" applyFont="1" applyFill="1" applyBorder="1" applyAlignment="1">
      <alignment vertical="center" wrapText="1"/>
    </xf>
    <xf numFmtId="0" fontId="17" fillId="4" borderId="13" xfId="0" applyFont="1" applyFill="1" applyBorder="1" applyAlignment="1">
      <alignment horizontal="center" vertical="center" wrapText="1"/>
    </xf>
    <xf numFmtId="0" fontId="2" fillId="4" borderId="2" xfId="2" applyFill="1" applyBorder="1" applyAlignment="1">
      <alignment horizontal="center"/>
    </xf>
    <xf numFmtId="0" fontId="14" fillId="4" borderId="13" xfId="0" applyFont="1" applyFill="1" applyBorder="1" applyAlignment="1">
      <alignment horizontal="center" vertical="center" wrapText="1"/>
    </xf>
    <xf numFmtId="0" fontId="9" fillId="4" borderId="14" xfId="0" applyFont="1" applyFill="1" applyBorder="1" applyAlignment="1">
      <alignment horizontal="center" wrapText="1"/>
    </xf>
    <xf numFmtId="0" fontId="0" fillId="0" borderId="0" xfId="0" applyAlignment="1">
      <alignment horizontal="center"/>
    </xf>
    <xf numFmtId="0" fontId="87" fillId="0" borderId="7" xfId="0" applyFont="1" applyBorder="1" applyAlignment="1">
      <alignment horizontal="center"/>
    </xf>
    <xf numFmtId="0" fontId="5" fillId="4" borderId="4" xfId="0" applyFont="1" applyFill="1" applyBorder="1" applyAlignment="1">
      <alignment horizontal="center" vertical="top"/>
    </xf>
    <xf numFmtId="0" fontId="5" fillId="4" borderId="0" xfId="0" applyFont="1" applyFill="1" applyAlignment="1">
      <alignment horizontal="center" vertical="top"/>
    </xf>
    <xf numFmtId="0" fontId="17" fillId="4" borderId="10" xfId="0" applyFont="1" applyFill="1" applyBorder="1" applyAlignment="1">
      <alignment horizontal="left" vertical="center" wrapText="1"/>
    </xf>
    <xf numFmtId="0" fontId="17" fillId="4" borderId="10" xfId="0" applyFont="1" applyFill="1" applyBorder="1" applyAlignment="1">
      <alignment vertical="center" wrapText="1"/>
    </xf>
    <xf numFmtId="0" fontId="17" fillId="4" borderId="0" xfId="0" applyFont="1" applyFill="1" applyAlignment="1">
      <alignment horizontal="left" vertical="top" wrapText="1"/>
    </xf>
    <xf numFmtId="0" fontId="17" fillId="4" borderId="2" xfId="0" applyFont="1" applyFill="1" applyBorder="1" applyAlignment="1">
      <alignment horizontal="right"/>
    </xf>
    <xf numFmtId="0" fontId="69" fillId="4" borderId="0" xfId="0" applyFont="1" applyFill="1" applyAlignment="1">
      <alignment horizontal="left"/>
    </xf>
    <xf numFmtId="0" fontId="69" fillId="4" borderId="5" xfId="0" applyFont="1" applyFill="1" applyBorder="1" applyAlignment="1">
      <alignment horizontal="left"/>
    </xf>
    <xf numFmtId="0" fontId="17" fillId="4" borderId="11" xfId="0" applyFont="1" applyFill="1" applyBorder="1" applyAlignment="1">
      <alignment horizontal="left" vertical="center" wrapText="1"/>
    </xf>
    <xf numFmtId="0" fontId="17" fillId="4" borderId="12" xfId="0" applyFont="1" applyFill="1" applyBorder="1" applyAlignment="1">
      <alignment horizontal="left" vertical="center" wrapText="1"/>
    </xf>
    <xf numFmtId="0" fontId="101" fillId="4" borderId="10" xfId="2" applyFont="1" applyFill="1" applyBorder="1" applyAlignment="1">
      <alignment horizontal="center" vertical="center" wrapText="1"/>
    </xf>
    <xf numFmtId="0" fontId="101" fillId="4" borderId="11" xfId="2" applyFont="1" applyFill="1" applyBorder="1" applyAlignment="1">
      <alignment horizontal="center" vertical="center" wrapText="1"/>
    </xf>
    <xf numFmtId="0" fontId="89" fillId="4" borderId="11" xfId="0" applyFont="1" applyFill="1" applyBorder="1" applyAlignment="1">
      <alignment horizontal="center" vertical="center" wrapText="1"/>
    </xf>
    <xf numFmtId="0" fontId="7" fillId="4" borderId="12" xfId="0" applyFont="1" applyFill="1" applyBorder="1" applyAlignment="1">
      <alignment vertical="center" wrapText="1"/>
    </xf>
    <xf numFmtId="0" fontId="13" fillId="6" borderId="12" xfId="0" applyFont="1" applyFill="1" applyBorder="1" applyAlignment="1">
      <alignment horizontal="left" vertical="center"/>
    </xf>
    <xf numFmtId="0" fontId="5" fillId="4" borderId="9" xfId="0" applyFont="1" applyFill="1" applyBorder="1" applyAlignment="1">
      <alignment horizontal="left" vertical="top"/>
    </xf>
    <xf numFmtId="0" fontId="86" fillId="4" borderId="6" xfId="0" applyFont="1" applyFill="1" applyBorder="1" applyAlignment="1">
      <alignment horizontal="center"/>
    </xf>
    <xf numFmtId="0" fontId="2" fillId="4" borderId="9" xfId="2" applyFill="1" applyBorder="1" applyAlignment="1"/>
    <xf numFmtId="0" fontId="5" fillId="4" borderId="0" xfId="0" applyFont="1" applyFill="1" applyAlignment="1">
      <alignment vertical="top" wrapText="1"/>
    </xf>
    <xf numFmtId="0" fontId="5" fillId="4" borderId="3" xfId="0" applyFont="1" applyFill="1" applyBorder="1" applyAlignment="1">
      <alignment vertical="top" wrapText="1"/>
    </xf>
    <xf numFmtId="0" fontId="5" fillId="4" borderId="3" xfId="0" applyFont="1" applyFill="1" applyBorder="1" applyAlignment="1">
      <alignment horizontal="left" vertical="top" wrapText="1"/>
    </xf>
    <xf numFmtId="0" fontId="0" fillId="4" borderId="1" xfId="0" applyFill="1" applyBorder="1" applyAlignment="1">
      <alignment horizontal="center" wrapText="1"/>
    </xf>
    <xf numFmtId="0" fontId="0" fillId="4" borderId="2" xfId="0" applyFill="1" applyBorder="1" applyAlignment="1">
      <alignment horizontal="center" wrapText="1"/>
    </xf>
    <xf numFmtId="0" fontId="0" fillId="4" borderId="3" xfId="0" applyFill="1" applyBorder="1" applyAlignment="1">
      <alignment horizontal="center" wrapText="1"/>
    </xf>
    <xf numFmtId="0" fontId="5" fillId="4" borderId="8" xfId="0" applyFont="1" applyFill="1" applyBorder="1" applyAlignment="1">
      <alignment vertical="top" wrapText="1"/>
    </xf>
    <xf numFmtId="0" fontId="17" fillId="4" borderId="24" xfId="0" applyFont="1" applyFill="1" applyBorder="1"/>
    <xf numFmtId="4" fontId="14" fillId="0" borderId="9" xfId="0" applyNumberFormat="1" applyFont="1" applyBorder="1" applyAlignment="1">
      <alignment horizontal="left" vertical="center" wrapText="1"/>
    </xf>
    <xf numFmtId="0" fontId="13" fillId="0" borderId="9" xfId="0" applyFont="1" applyBorder="1" applyAlignment="1">
      <alignment horizontal="center" vertical="center" wrapText="1"/>
    </xf>
    <xf numFmtId="0" fontId="13" fillId="4" borderId="41" xfId="0" applyFont="1" applyFill="1" applyBorder="1" applyAlignment="1">
      <alignment horizontal="left" vertical="top"/>
    </xf>
    <xf numFmtId="0" fontId="13" fillId="4" borderId="35" xfId="0" applyFont="1" applyFill="1" applyBorder="1" applyAlignment="1">
      <alignment horizontal="left" vertical="top"/>
    </xf>
    <xf numFmtId="183" fontId="13" fillId="4" borderId="84" xfId="0" applyNumberFormat="1" applyFont="1" applyFill="1" applyBorder="1" applyAlignment="1">
      <alignment horizontal="left" vertical="top"/>
    </xf>
    <xf numFmtId="183" fontId="13" fillId="4" borderId="0" xfId="0" applyNumberFormat="1" applyFont="1" applyFill="1" applyAlignment="1">
      <alignment horizontal="left" vertical="center"/>
    </xf>
    <xf numFmtId="0" fontId="108" fillId="4" borderId="25" xfId="0" applyFont="1" applyFill="1" applyBorder="1" applyAlignment="1">
      <alignment horizontal="center" vertical="top"/>
    </xf>
    <xf numFmtId="0" fontId="13" fillId="4" borderId="25" xfId="0" applyFont="1" applyFill="1" applyBorder="1" applyAlignment="1">
      <alignment horizontal="left" vertical="center"/>
    </xf>
    <xf numFmtId="0" fontId="13" fillId="4" borderId="0" xfId="0" applyFont="1" applyFill="1" applyAlignment="1">
      <alignment horizontal="center" vertical="top"/>
    </xf>
    <xf numFmtId="0" fontId="13" fillId="4" borderId="27" xfId="0" applyFont="1" applyFill="1" applyBorder="1" applyAlignment="1">
      <alignment horizontal="center" vertical="top"/>
    </xf>
    <xf numFmtId="0" fontId="13" fillId="4" borderId="23" xfId="0" applyFont="1" applyFill="1" applyBorder="1" applyAlignment="1">
      <alignment horizontal="left" vertical="top"/>
    </xf>
    <xf numFmtId="183" fontId="13" fillId="4" borderId="21" xfId="0" applyNumberFormat="1" applyFont="1" applyFill="1" applyBorder="1" applyAlignment="1">
      <alignment horizontal="left" vertical="top"/>
    </xf>
    <xf numFmtId="0" fontId="13" fillId="4" borderId="38" xfId="0" applyFont="1" applyFill="1" applyBorder="1" applyAlignment="1">
      <alignment horizontal="left" vertical="top"/>
    </xf>
    <xf numFmtId="183" fontId="13" fillId="4" borderId="38" xfId="0" applyNumberFormat="1" applyFont="1" applyFill="1" applyBorder="1" applyAlignment="1">
      <alignment horizontal="left" vertical="top"/>
    </xf>
    <xf numFmtId="0" fontId="13" fillId="4" borderId="40" xfId="0" applyFont="1" applyFill="1" applyBorder="1" applyAlignment="1">
      <alignment horizontal="left" vertical="top"/>
    </xf>
    <xf numFmtId="183" fontId="13" fillId="4" borderId="40" xfId="0" applyNumberFormat="1" applyFont="1" applyFill="1" applyBorder="1" applyAlignment="1">
      <alignment horizontal="left" vertical="top"/>
    </xf>
    <xf numFmtId="0" fontId="13" fillId="4" borderId="39" xfId="0" applyFont="1" applyFill="1" applyBorder="1" applyAlignment="1">
      <alignment horizontal="left" vertical="top"/>
    </xf>
    <xf numFmtId="183" fontId="14" fillId="4" borderId="9" xfId="0" applyNumberFormat="1" applyFont="1" applyFill="1" applyBorder="1" applyAlignment="1">
      <alignment horizontal="left" vertical="top"/>
    </xf>
    <xf numFmtId="0" fontId="14" fillId="4" borderId="30" xfId="0" applyFont="1" applyFill="1" applyBorder="1" applyAlignment="1">
      <alignment horizontal="left" vertical="top"/>
    </xf>
    <xf numFmtId="0" fontId="14" fillId="4" borderId="52" xfId="0" applyFont="1" applyFill="1" applyBorder="1" applyAlignment="1">
      <alignment horizontal="left" vertical="top"/>
    </xf>
    <xf numFmtId="0" fontId="20" fillId="3" borderId="15" xfId="0" applyFont="1" applyFill="1" applyBorder="1" applyAlignment="1">
      <alignment vertical="center" wrapText="1"/>
    </xf>
    <xf numFmtId="0" fontId="11" fillId="0" borderId="1" xfId="0" applyFont="1" applyBorder="1" applyAlignment="1">
      <alignment vertical="center" wrapText="1"/>
    </xf>
    <xf numFmtId="0" fontId="13" fillId="4" borderId="4" xfId="0" applyFont="1" applyFill="1" applyBorder="1" applyAlignment="1">
      <alignment horizontal="left" vertical="center" wrapText="1"/>
    </xf>
    <xf numFmtId="0" fontId="14" fillId="4" borderId="14" xfId="0" applyFont="1" applyFill="1" applyBorder="1" applyAlignment="1">
      <alignment horizontal="left" vertical="center"/>
    </xf>
    <xf numFmtId="0" fontId="17" fillId="7" borderId="8" xfId="0" applyFont="1" applyFill="1" applyBorder="1"/>
    <xf numFmtId="0" fontId="14" fillId="4" borderId="11" xfId="0" applyFont="1" applyFill="1" applyBorder="1" applyAlignment="1">
      <alignment horizontal="center" wrapText="1"/>
    </xf>
    <xf numFmtId="0" fontId="14" fillId="4" borderId="12" xfId="0" applyFont="1" applyFill="1" applyBorder="1" applyAlignment="1">
      <alignment horizontal="left" wrapText="1"/>
    </xf>
    <xf numFmtId="0" fontId="14" fillId="4" borderId="4" xfId="0" applyFont="1" applyFill="1" applyBorder="1" applyAlignment="1">
      <alignment horizontal="center" wrapText="1"/>
    </xf>
    <xf numFmtId="167" fontId="17" fillId="4" borderId="6" xfId="5" applyNumberFormat="1" applyFont="1" applyFill="1" applyBorder="1" applyAlignment="1">
      <alignment horizontal="right"/>
    </xf>
    <xf numFmtId="0" fontId="0" fillId="0" borderId="4" xfId="0" applyBorder="1" applyAlignment="1">
      <alignment vertical="center" wrapText="1"/>
    </xf>
    <xf numFmtId="0" fontId="0" fillId="0" borderId="0" xfId="0" applyAlignment="1">
      <alignment horizontal="center" wrapText="1"/>
    </xf>
    <xf numFmtId="0" fontId="87" fillId="0" borderId="4" xfId="0" applyFont="1" applyBorder="1" applyAlignment="1">
      <alignment horizontal="center" vertical="center" wrapText="1"/>
    </xf>
    <xf numFmtId="0" fontId="0" fillId="0" borderId="6" xfId="0" applyBorder="1"/>
    <xf numFmtId="0" fontId="0" fillId="0" borderId="8" xfId="0" applyBorder="1"/>
    <xf numFmtId="0" fontId="0" fillId="0" borderId="3" xfId="0" applyBorder="1"/>
    <xf numFmtId="0" fontId="87" fillId="7" borderId="9" xfId="0" applyFont="1" applyFill="1" applyBorder="1" applyAlignment="1">
      <alignment horizontal="center" vertical="center"/>
    </xf>
    <xf numFmtId="0" fontId="17" fillId="4" borderId="7" xfId="0" applyFont="1" applyFill="1" applyBorder="1" applyAlignment="1">
      <alignment horizontal="right"/>
    </xf>
    <xf numFmtId="184" fontId="17" fillId="0" borderId="7" xfId="0" applyNumberFormat="1" applyFont="1" applyBorder="1" applyAlignment="1">
      <alignment horizontal="right"/>
    </xf>
    <xf numFmtId="0" fontId="51" fillId="0" borderId="9" xfId="0" applyFont="1" applyBorder="1"/>
    <xf numFmtId="4" fontId="14" fillId="0" borderId="9" xfId="0" applyNumberFormat="1" applyFont="1" applyBorder="1" applyAlignment="1">
      <alignment horizontal="right" vertical="top" wrapText="1"/>
    </xf>
    <xf numFmtId="4" fontId="14" fillId="4" borderId="9" xfId="0" applyNumberFormat="1" applyFont="1" applyFill="1" applyBorder="1" applyAlignment="1">
      <alignment horizontal="right" vertical="top" wrapText="1"/>
    </xf>
    <xf numFmtId="0" fontId="0" fillId="0" borderId="11" xfId="0" applyBorder="1"/>
    <xf numFmtId="0" fontId="87" fillId="0" borderId="1" xfId="0" applyFont="1" applyBorder="1" applyAlignment="1">
      <alignment horizontal="center"/>
    </xf>
    <xf numFmtId="0" fontId="87" fillId="0" borderId="4" xfId="0" applyFont="1" applyBorder="1" applyAlignment="1">
      <alignment horizontal="center"/>
    </xf>
    <xf numFmtId="0" fontId="87" fillId="0" borderId="6" xfId="0" applyFont="1" applyBorder="1" applyAlignment="1">
      <alignment horizontal="center"/>
    </xf>
    <xf numFmtId="0" fontId="0" fillId="0" borderId="13" xfId="0" applyBorder="1" applyAlignment="1">
      <alignment horizontal="center"/>
    </xf>
    <xf numFmtId="0" fontId="18" fillId="4" borderId="5" xfId="0" applyFont="1" applyFill="1" applyBorder="1"/>
    <xf numFmtId="0" fontId="0" fillId="4" borderId="4" xfId="0" applyFill="1" applyBorder="1" applyAlignment="1">
      <alignment horizontal="center"/>
    </xf>
    <xf numFmtId="0" fontId="0" fillId="4" borderId="5" xfId="0" applyFill="1" applyBorder="1" applyAlignment="1">
      <alignment horizontal="center"/>
    </xf>
    <xf numFmtId="0" fontId="100" fillId="0" borderId="4" xfId="0" applyFont="1" applyBorder="1"/>
    <xf numFmtId="4" fontId="106" fillId="4" borderId="14" xfId="0" applyNumberFormat="1" applyFont="1" applyFill="1" applyBorder="1" applyAlignment="1">
      <alignment horizontal="left" vertical="center" wrapText="1"/>
    </xf>
    <xf numFmtId="0" fontId="0" fillId="0" borderId="15" xfId="0" applyBorder="1"/>
    <xf numFmtId="10" fontId="0" fillId="0" borderId="7" xfId="4" applyNumberFormat="1" applyFont="1" applyBorder="1"/>
    <xf numFmtId="0" fontId="100" fillId="0" borderId="6" xfId="0" applyFont="1" applyBorder="1" applyAlignment="1">
      <alignment horizontal="left"/>
    </xf>
    <xf numFmtId="0" fontId="36" fillId="4" borderId="10" xfId="0" applyFont="1" applyFill="1" applyBorder="1"/>
    <xf numFmtId="0" fontId="36" fillId="4" borderId="10" xfId="0" applyFont="1" applyFill="1" applyBorder="1" applyAlignment="1">
      <alignment vertical="center"/>
    </xf>
    <xf numFmtId="0" fontId="36" fillId="0" borderId="4" xfId="0" applyFont="1" applyBorder="1"/>
    <xf numFmtId="44" fontId="0" fillId="0" borderId="10" xfId="5" applyFont="1" applyBorder="1" applyAlignment="1">
      <alignment horizontal="center"/>
    </xf>
    <xf numFmtId="0" fontId="36" fillId="0" borderId="11" xfId="0" applyFont="1" applyBorder="1"/>
    <xf numFmtId="43" fontId="0" fillId="6" borderId="12" xfId="6" applyFont="1" applyFill="1" applyBorder="1" applyAlignment="1">
      <alignment horizontal="center"/>
    </xf>
    <xf numFmtId="44" fontId="0" fillId="6" borderId="12" xfId="5" applyFont="1" applyFill="1" applyBorder="1" applyAlignment="1">
      <alignment horizontal="center"/>
    </xf>
    <xf numFmtId="0" fontId="0" fillId="0" borderId="14" xfId="0" applyBorder="1" applyAlignment="1">
      <alignment horizontal="center"/>
    </xf>
    <xf numFmtId="13" fontId="0" fillId="6" borderId="6" xfId="5" applyNumberFormat="1" applyFont="1" applyFill="1" applyBorder="1" applyAlignment="1">
      <alignment horizontal="center"/>
    </xf>
    <xf numFmtId="44" fontId="0" fillId="6" borderId="13" xfId="5" applyFont="1" applyFill="1" applyBorder="1" applyAlignment="1">
      <alignment horizontal="center"/>
    </xf>
    <xf numFmtId="0" fontId="100" fillId="0" borderId="9" xfId="0" applyFont="1" applyBorder="1" applyAlignment="1">
      <alignment horizontal="left"/>
    </xf>
    <xf numFmtId="44" fontId="100" fillId="0" borderId="15" xfId="0" applyNumberFormat="1" applyFont="1" applyBorder="1" applyAlignment="1">
      <alignment horizontal="center"/>
    </xf>
    <xf numFmtId="44" fontId="100" fillId="0" borderId="13" xfId="5" applyFont="1" applyBorder="1" applyAlignment="1">
      <alignment horizontal="center"/>
    </xf>
    <xf numFmtId="0" fontId="5" fillId="14" borderId="0" xfId="0" applyFont="1" applyFill="1" applyAlignment="1">
      <alignment vertical="top"/>
    </xf>
    <xf numFmtId="182" fontId="17" fillId="6" borderId="12" xfId="0" applyNumberFormat="1" applyFont="1" applyFill="1" applyBorder="1"/>
    <xf numFmtId="0" fontId="20" fillId="3" borderId="8" xfId="0" applyFont="1" applyFill="1" applyBorder="1" applyAlignment="1">
      <alignment vertical="center" wrapText="1"/>
    </xf>
    <xf numFmtId="0" fontId="60" fillId="12" borderId="5" xfId="0" applyFont="1" applyFill="1" applyBorder="1"/>
    <xf numFmtId="182" fontId="14" fillId="12" borderId="12" xfId="0" applyNumberFormat="1" applyFont="1" applyFill="1" applyBorder="1"/>
    <xf numFmtId="3" fontId="14" fillId="12" borderId="9" xfId="0" applyNumberFormat="1" applyFont="1" applyFill="1" applyBorder="1" applyAlignment="1">
      <alignment horizontal="left" wrapText="1"/>
    </xf>
    <xf numFmtId="190" fontId="14" fillId="12" borderId="12" xfId="0" applyNumberFormat="1" applyFont="1" applyFill="1" applyBorder="1"/>
    <xf numFmtId="0" fontId="14" fillId="4" borderId="8" xfId="0" applyFont="1" applyFill="1" applyBorder="1" applyAlignment="1">
      <alignment horizontal="left" vertical="top" wrapText="1"/>
    </xf>
    <xf numFmtId="0" fontId="5" fillId="14" borderId="4" xfId="0" applyFont="1" applyFill="1" applyBorder="1" applyAlignment="1">
      <alignment vertical="top"/>
    </xf>
    <xf numFmtId="0" fontId="5" fillId="14" borderId="5" xfId="0" applyFont="1" applyFill="1" applyBorder="1" applyAlignment="1">
      <alignment vertical="top"/>
    </xf>
    <xf numFmtId="0" fontId="14" fillId="4" borderId="9" xfId="0" applyFont="1" applyFill="1" applyBorder="1"/>
    <xf numFmtId="3" fontId="14" fillId="16" borderId="9" xfId="0" applyNumberFormat="1" applyFont="1" applyFill="1" applyBorder="1"/>
    <xf numFmtId="183" fontId="14" fillId="16" borderId="9" xfId="0" applyNumberFormat="1" applyFont="1" applyFill="1" applyBorder="1"/>
    <xf numFmtId="3" fontId="14" fillId="4" borderId="9" xfId="0" applyNumberFormat="1" applyFont="1" applyFill="1" applyBorder="1"/>
    <xf numFmtId="177" fontId="14" fillId="4" borderId="13" xfId="0" applyNumberFormat="1" applyFont="1" applyFill="1" applyBorder="1"/>
    <xf numFmtId="3" fontId="17" fillId="16" borderId="12" xfId="0" applyNumberFormat="1" applyFont="1" applyFill="1" applyBorder="1"/>
    <xf numFmtId="183" fontId="17" fillId="16" borderId="12" xfId="0" applyNumberFormat="1" applyFont="1" applyFill="1" applyBorder="1"/>
    <xf numFmtId="3" fontId="17" fillId="4" borderId="12" xfId="0" applyNumberFormat="1" applyFont="1" applyFill="1" applyBorder="1"/>
    <xf numFmtId="177" fontId="17" fillId="4" borderId="6" xfId="0" applyNumberFormat="1" applyFont="1" applyFill="1" applyBorder="1"/>
    <xf numFmtId="177" fontId="105" fillId="4" borderId="6" xfId="2" applyNumberFormat="1" applyFont="1" applyFill="1" applyBorder="1" applyAlignment="1"/>
    <xf numFmtId="177" fontId="105" fillId="4" borderId="12" xfId="2" applyNumberFormat="1" applyFont="1" applyFill="1" applyBorder="1" applyAlignment="1"/>
    <xf numFmtId="0" fontId="11" fillId="3" borderId="5" xfId="0" applyFont="1" applyFill="1" applyBorder="1" applyAlignment="1">
      <alignment vertical="center" wrapText="1"/>
    </xf>
    <xf numFmtId="0" fontId="105" fillId="0" borderId="0" xfId="2" applyFont="1" applyBorder="1" applyAlignment="1"/>
    <xf numFmtId="0" fontId="105" fillId="0" borderId="13" xfId="2" applyFont="1" applyBorder="1"/>
    <xf numFmtId="0" fontId="105" fillId="0" borderId="1" xfId="2" applyFont="1" applyBorder="1"/>
    <xf numFmtId="0" fontId="17" fillId="4" borderId="10" xfId="0" applyFont="1" applyFill="1" applyBorder="1" applyAlignment="1">
      <alignment horizontal="center" vertical="center" wrapText="1"/>
    </xf>
    <xf numFmtId="0" fontId="14" fillId="4" borderId="10" xfId="0" applyFont="1" applyFill="1" applyBorder="1" applyAlignment="1">
      <alignment vertical="top" wrapText="1"/>
    </xf>
    <xf numFmtId="0" fontId="14" fillId="4" borderId="11" xfId="0" applyFont="1" applyFill="1" applyBorder="1" applyAlignment="1">
      <alignment vertical="top" wrapText="1"/>
    </xf>
    <xf numFmtId="0" fontId="5" fillId="4" borderId="15" xfId="0" applyFont="1" applyFill="1" applyBorder="1" applyAlignment="1">
      <alignment horizontal="left" vertical="top" wrapText="1"/>
    </xf>
    <xf numFmtId="177" fontId="17" fillId="0" borderId="9" xfId="0" applyNumberFormat="1" applyFont="1" applyBorder="1" applyAlignment="1">
      <alignment horizontal="left" wrapText="1"/>
    </xf>
    <xf numFmtId="173" fontId="14" fillId="0" borderId="0" xfId="0" applyNumberFormat="1" applyFont="1" applyAlignment="1">
      <alignment horizontal="right" vertical="top" wrapText="1"/>
    </xf>
    <xf numFmtId="173" fontId="14" fillId="0" borderId="9" xfId="0" applyNumberFormat="1" applyFont="1" applyBorder="1" applyAlignment="1">
      <alignment horizontal="right" vertical="top" wrapText="1"/>
    </xf>
    <xf numFmtId="0" fontId="90" fillId="14" borderId="2" xfId="0" applyFont="1" applyFill="1" applyBorder="1" applyAlignment="1">
      <alignment vertical="top" wrapText="1"/>
    </xf>
    <xf numFmtId="0" fontId="0" fillId="6" borderId="9" xfId="0" applyFill="1" applyBorder="1" applyAlignment="1">
      <alignment horizontal="center"/>
    </xf>
    <xf numFmtId="0" fontId="0" fillId="0" borderId="5" xfId="0" applyBorder="1" applyAlignment="1">
      <alignment horizontal="center"/>
    </xf>
    <xf numFmtId="0" fontId="0" fillId="6" borderId="12" xfId="0" applyFill="1" applyBorder="1" applyAlignment="1">
      <alignment horizontal="center"/>
    </xf>
    <xf numFmtId="0" fontId="0" fillId="0" borderId="7" xfId="0" applyBorder="1" applyAlignment="1">
      <alignment horizontal="center"/>
    </xf>
    <xf numFmtId="44" fontId="100" fillId="0" borderId="7" xfId="5" applyFont="1" applyBorder="1" applyAlignment="1">
      <alignment horizontal="center" vertical="center"/>
    </xf>
    <xf numFmtId="0" fontId="0" fillId="0" borderId="15" xfId="0" applyBorder="1" applyAlignment="1">
      <alignment horizontal="center"/>
    </xf>
    <xf numFmtId="44" fontId="0" fillId="0" borderId="12" xfId="5" applyFont="1" applyBorder="1" applyAlignment="1">
      <alignment horizontal="center"/>
    </xf>
    <xf numFmtId="44" fontId="0" fillId="0" borderId="9" xfId="5" applyFont="1" applyBorder="1" applyAlignment="1">
      <alignment horizontal="center"/>
    </xf>
    <xf numFmtId="9" fontId="0" fillId="0" borderId="0" xfId="4" applyFont="1"/>
    <xf numFmtId="0" fontId="0" fillId="0" borderId="5" xfId="0" applyBorder="1" applyAlignment="1">
      <alignment wrapText="1"/>
    </xf>
    <xf numFmtId="44" fontId="0" fillId="0" borderId="0" xfId="5" applyFont="1" applyAlignment="1">
      <alignment wrapText="1"/>
    </xf>
    <xf numFmtId="10" fontId="51" fillId="0" borderId="0" xfId="4" applyNumberFormat="1" applyFont="1"/>
    <xf numFmtId="10" fontId="51" fillId="0" borderId="7" xfId="4" applyNumberFormat="1" applyFont="1" applyBorder="1"/>
    <xf numFmtId="44" fontId="0" fillId="0" borderId="0" xfId="5" applyFont="1"/>
    <xf numFmtId="44" fontId="0" fillId="0" borderId="2" xfId="5" applyFont="1" applyBorder="1"/>
    <xf numFmtId="0" fontId="51" fillId="0" borderId="8" xfId="0" applyFont="1" applyBorder="1" applyAlignment="1">
      <alignment horizontal="center" vertical="center"/>
    </xf>
    <xf numFmtId="0" fontId="100" fillId="0" borderId="0" xfId="0" applyFont="1"/>
    <xf numFmtId="0" fontId="0" fillId="4" borderId="0" xfId="0" applyFill="1" applyAlignment="1">
      <alignment horizontal="center"/>
    </xf>
    <xf numFmtId="0" fontId="116" fillId="0" borderId="9" xfId="0" applyFont="1" applyBorder="1"/>
    <xf numFmtId="44" fontId="116" fillId="0" borderId="9" xfId="5" applyFont="1" applyBorder="1" applyAlignment="1">
      <alignment wrapText="1"/>
    </xf>
    <xf numFmtId="10" fontId="100" fillId="0" borderId="9" xfId="4" applyNumberFormat="1" applyFont="1" applyBorder="1"/>
    <xf numFmtId="44" fontId="0" fillId="0" borderId="9" xfId="5" applyFont="1" applyBorder="1"/>
    <xf numFmtId="10" fontId="51" fillId="0" borderId="9" xfId="4" applyNumberFormat="1" applyFont="1" applyBorder="1"/>
    <xf numFmtId="44" fontId="0" fillId="0" borderId="9" xfId="5" applyFont="1" applyBorder="1" applyAlignment="1">
      <alignment wrapText="1"/>
    </xf>
    <xf numFmtId="44" fontId="0" fillId="0" borderId="3" xfId="5" applyFont="1" applyBorder="1" applyAlignment="1">
      <alignment horizontal="center"/>
    </xf>
    <xf numFmtId="10" fontId="0" fillId="0" borderId="5" xfId="4" applyNumberFormat="1" applyFont="1" applyBorder="1"/>
    <xf numFmtId="44" fontId="100" fillId="0" borderId="12" xfId="5" applyFont="1" applyBorder="1" applyAlignment="1">
      <alignment horizontal="left"/>
    </xf>
    <xf numFmtId="44" fontId="100" fillId="0" borderId="9" xfId="5" applyFont="1" applyBorder="1" applyAlignment="1">
      <alignment horizontal="center"/>
    </xf>
    <xf numFmtId="0" fontId="100" fillId="0" borderId="9" xfId="0" applyFont="1" applyBorder="1"/>
    <xf numFmtId="173" fontId="17" fillId="4" borderId="2" xfId="0" applyNumberFormat="1" applyFont="1" applyFill="1" applyBorder="1" applyAlignment="1">
      <alignment horizontal="right"/>
    </xf>
    <xf numFmtId="184" fontId="17" fillId="0" borderId="8" xfId="0" applyNumberFormat="1" applyFont="1" applyBorder="1" applyAlignment="1">
      <alignment horizontal="right"/>
    </xf>
    <xf numFmtId="4" fontId="14" fillId="11" borderId="9" xfId="0" applyNumberFormat="1" applyFont="1" applyFill="1" applyBorder="1" applyAlignment="1">
      <alignment horizontal="right" vertical="top" wrapText="1"/>
    </xf>
    <xf numFmtId="0" fontId="11" fillId="0" borderId="13" xfId="0" applyFont="1" applyBorder="1" applyAlignment="1">
      <alignment vertical="center" wrapText="1"/>
    </xf>
    <xf numFmtId="0" fontId="11" fillId="0" borderId="14" xfId="0" applyFont="1" applyBorder="1" applyAlignment="1">
      <alignment vertical="center" wrapText="1"/>
    </xf>
    <xf numFmtId="0" fontId="20" fillId="0" borderId="15" xfId="0" applyFont="1" applyBorder="1" applyAlignment="1">
      <alignment vertical="center" wrapText="1"/>
    </xf>
    <xf numFmtId="44" fontId="14" fillId="4" borderId="0" xfId="0" applyNumberFormat="1" applyFont="1" applyFill="1" applyAlignment="1">
      <alignment horizontal="left" vertical="top"/>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68" fillId="5" borderId="1" xfId="0" applyFont="1" applyFill="1" applyBorder="1" applyAlignment="1">
      <alignment horizontal="center" vertical="top"/>
    </xf>
    <xf numFmtId="0" fontId="68" fillId="5" borderId="3" xfId="0" applyFont="1" applyFill="1" applyBorder="1" applyAlignment="1">
      <alignment horizontal="center" vertical="top"/>
    </xf>
    <xf numFmtId="0" fontId="68" fillId="5" borderId="4" xfId="0" applyFont="1" applyFill="1" applyBorder="1" applyAlignment="1">
      <alignment horizontal="center" vertical="top"/>
    </xf>
    <xf numFmtId="0" fontId="68" fillId="5" borderId="5" xfId="0" applyFont="1" applyFill="1" applyBorder="1" applyAlignment="1">
      <alignment horizontal="center" vertical="top"/>
    </xf>
    <xf numFmtId="0" fontId="68" fillId="5" borderId="1" xfId="0" applyFont="1" applyFill="1" applyBorder="1" applyAlignment="1">
      <alignment horizontal="center" vertical="center"/>
    </xf>
    <xf numFmtId="0" fontId="68" fillId="5" borderId="3" xfId="0" applyFont="1" applyFill="1" applyBorder="1" applyAlignment="1">
      <alignment horizontal="center" vertical="center"/>
    </xf>
    <xf numFmtId="0" fontId="68" fillId="5" borderId="4" xfId="0" applyFont="1" applyFill="1" applyBorder="1" applyAlignment="1">
      <alignment horizontal="center" vertical="center"/>
    </xf>
    <xf numFmtId="0" fontId="68" fillId="5" borderId="5" xfId="0" applyFont="1" applyFill="1" applyBorder="1" applyAlignment="1">
      <alignment horizontal="center" vertical="center"/>
    </xf>
    <xf numFmtId="0" fontId="14" fillId="6" borderId="13" xfId="0" applyFont="1" applyFill="1" applyBorder="1" applyAlignment="1">
      <alignment horizontal="left" vertical="center" wrapText="1"/>
    </xf>
    <xf numFmtId="0" fontId="14" fillId="6" borderId="15" xfId="0" applyFont="1" applyFill="1" applyBorder="1" applyAlignment="1">
      <alignment horizontal="left" vertical="center" wrapText="1"/>
    </xf>
    <xf numFmtId="0" fontId="16" fillId="4" borderId="11" xfId="0" applyFont="1" applyFill="1" applyBorder="1" applyAlignment="1">
      <alignment horizontal="left" vertical="top" wrapText="1" indent="1"/>
    </xf>
    <xf numFmtId="0" fontId="14" fillId="7" borderId="13" xfId="0" applyFont="1" applyFill="1" applyBorder="1" applyAlignment="1">
      <alignment vertical="top"/>
    </xf>
    <xf numFmtId="0" fontId="14" fillId="7" borderId="14" xfId="0" applyFont="1" applyFill="1" applyBorder="1" applyAlignment="1">
      <alignment vertical="top"/>
    </xf>
    <xf numFmtId="0" fontId="14" fillId="7" borderId="15" xfId="0" applyFont="1" applyFill="1" applyBorder="1" applyAlignment="1">
      <alignment vertical="top"/>
    </xf>
    <xf numFmtId="164" fontId="14" fillId="6" borderId="13" xfId="0" applyNumberFormat="1" applyFont="1" applyFill="1" applyBorder="1" applyAlignment="1">
      <alignment horizontal="left" vertical="top"/>
    </xf>
    <xf numFmtId="164" fontId="14" fillId="6" borderId="14" xfId="0" applyNumberFormat="1" applyFont="1" applyFill="1" applyBorder="1" applyAlignment="1">
      <alignment horizontal="left" vertical="top"/>
    </xf>
    <xf numFmtId="164" fontId="14" fillId="6" borderId="15" xfId="0" applyNumberFormat="1" applyFont="1" applyFill="1" applyBorder="1" applyAlignment="1">
      <alignment horizontal="left" vertical="top"/>
    </xf>
    <xf numFmtId="0" fontId="17" fillId="4" borderId="13" xfId="0" applyFont="1" applyFill="1" applyBorder="1" applyAlignment="1">
      <alignment horizontal="center" vertical="center" wrapText="1"/>
    </xf>
    <xf numFmtId="0" fontId="17" fillId="4" borderId="14" xfId="0" applyFont="1" applyFill="1" applyBorder="1" applyAlignment="1">
      <alignment horizontal="center" vertical="center" wrapText="1"/>
    </xf>
    <xf numFmtId="0" fontId="17" fillId="4" borderId="15" xfId="0" applyFont="1" applyFill="1" applyBorder="1" applyAlignment="1">
      <alignment horizontal="center" vertical="center" wrapText="1"/>
    </xf>
    <xf numFmtId="0" fontId="13" fillId="4" borderId="13" xfId="0" applyFont="1" applyFill="1" applyBorder="1" applyAlignment="1">
      <alignment horizontal="left" vertical="center"/>
    </xf>
    <xf numFmtId="0" fontId="13" fillId="4" borderId="15" xfId="0" applyFont="1" applyFill="1" applyBorder="1" applyAlignment="1">
      <alignment horizontal="left" vertical="center"/>
    </xf>
    <xf numFmtId="0" fontId="5" fillId="4" borderId="1" xfId="0" applyFont="1" applyFill="1" applyBorder="1" applyAlignment="1">
      <alignment horizontal="center" vertical="top"/>
    </xf>
    <xf numFmtId="0" fontId="5" fillId="4" borderId="2" xfId="0" applyFont="1" applyFill="1" applyBorder="1" applyAlignment="1">
      <alignment horizontal="center" vertical="top"/>
    </xf>
    <xf numFmtId="0" fontId="10" fillId="8" borderId="1" xfId="0" applyFont="1" applyFill="1" applyBorder="1" applyAlignment="1">
      <alignment vertical="center" wrapText="1"/>
    </xf>
    <xf numFmtId="0" fontId="10" fillId="8" borderId="2" xfId="0" applyFont="1" applyFill="1" applyBorder="1" applyAlignment="1">
      <alignment vertical="center" wrapText="1"/>
    </xf>
    <xf numFmtId="0" fontId="11" fillId="3" borderId="6" xfId="0" applyFont="1" applyFill="1" applyBorder="1" applyAlignment="1">
      <alignment vertical="center" wrapText="1"/>
    </xf>
    <xf numFmtId="0" fontId="11" fillId="3" borderId="7" xfId="0" applyFont="1" applyFill="1" applyBorder="1" applyAlignment="1">
      <alignment vertical="center" wrapText="1"/>
    </xf>
    <xf numFmtId="0" fontId="5" fillId="4" borderId="1" xfId="0" applyFont="1" applyFill="1" applyBorder="1" applyAlignment="1">
      <alignment horizontal="left" vertical="top"/>
    </xf>
    <xf numFmtId="0" fontId="5" fillId="4" borderId="0" xfId="0" applyFont="1" applyFill="1" applyAlignment="1">
      <alignment horizontal="left" vertical="top"/>
    </xf>
    <xf numFmtId="0" fontId="5" fillId="4" borderId="2" xfId="0" applyFont="1" applyFill="1" applyBorder="1" applyAlignment="1">
      <alignment horizontal="left" vertical="top"/>
    </xf>
    <xf numFmtId="0" fontId="14" fillId="6" borderId="13" xfId="0" applyFont="1" applyFill="1" applyBorder="1" applyAlignment="1">
      <alignment vertical="top"/>
    </xf>
    <xf numFmtId="0" fontId="14" fillId="6" borderId="14" xfId="0" applyFont="1" applyFill="1" applyBorder="1" applyAlignment="1">
      <alignment vertical="top"/>
    </xf>
    <xf numFmtId="0" fontId="14" fillId="6" borderId="15" xfId="0" applyFont="1" applyFill="1" applyBorder="1" applyAlignment="1">
      <alignment vertical="top"/>
    </xf>
    <xf numFmtId="0" fontId="2" fillId="4" borderId="14" xfId="2" applyFill="1" applyBorder="1" applyAlignment="1">
      <alignment horizontal="center"/>
    </xf>
    <xf numFmtId="0" fontId="2" fillId="4" borderId="15" xfId="2" applyFill="1" applyBorder="1" applyAlignment="1">
      <alignment horizontal="center"/>
    </xf>
    <xf numFmtId="0" fontId="2" fillId="4" borderId="9" xfId="2" applyFill="1" applyBorder="1" applyAlignment="1">
      <alignment horizontal="center"/>
    </xf>
    <xf numFmtId="0" fontId="14" fillId="6" borderId="14" xfId="0" applyFont="1" applyFill="1" applyBorder="1" applyAlignment="1">
      <alignment horizontal="left" vertical="center" wrapText="1"/>
    </xf>
    <xf numFmtId="0" fontId="15" fillId="6" borderId="13" xfId="0" applyFont="1" applyFill="1" applyBorder="1" applyAlignment="1">
      <alignment horizontal="left" vertical="center" wrapText="1"/>
    </xf>
    <xf numFmtId="0" fontId="15" fillId="6" borderId="14" xfId="0" applyFont="1" applyFill="1" applyBorder="1" applyAlignment="1">
      <alignment horizontal="left" vertical="center" wrapText="1"/>
    </xf>
    <xf numFmtId="0" fontId="15" fillId="6" borderId="15" xfId="0" applyFont="1" applyFill="1" applyBorder="1" applyAlignment="1">
      <alignment horizontal="left" vertical="center" wrapText="1"/>
    </xf>
    <xf numFmtId="0" fontId="91" fillId="4" borderId="1" xfId="0" applyFont="1" applyFill="1" applyBorder="1" applyAlignment="1">
      <alignment horizontal="center" vertical="top" wrapText="1"/>
    </xf>
    <xf numFmtId="0" fontId="91" fillId="4" borderId="2" xfId="0" applyFont="1" applyFill="1" applyBorder="1" applyAlignment="1">
      <alignment horizontal="center" vertical="top" wrapText="1"/>
    </xf>
    <xf numFmtId="0" fontId="91" fillId="4" borderId="3" xfId="0" applyFont="1" applyFill="1" applyBorder="1" applyAlignment="1">
      <alignment horizontal="center" vertical="top" wrapText="1"/>
    </xf>
    <xf numFmtId="0" fontId="91" fillId="4" borderId="6" xfId="0" applyFont="1" applyFill="1" applyBorder="1" applyAlignment="1">
      <alignment horizontal="center" vertical="top" wrapText="1"/>
    </xf>
    <xf numFmtId="0" fontId="91" fillId="4" borderId="7" xfId="0" applyFont="1" applyFill="1" applyBorder="1" applyAlignment="1">
      <alignment horizontal="center" vertical="top" wrapText="1"/>
    </xf>
    <xf numFmtId="0" fontId="91" fillId="4" borderId="8" xfId="0" applyFont="1" applyFill="1" applyBorder="1" applyAlignment="1">
      <alignment horizontal="center" vertical="top" wrapText="1"/>
    </xf>
    <xf numFmtId="164" fontId="13" fillId="4" borderId="2" xfId="0" applyNumberFormat="1" applyFont="1" applyFill="1" applyBorder="1" applyAlignment="1">
      <alignment horizontal="center" vertical="top" wrapText="1"/>
    </xf>
    <xf numFmtId="164" fontId="13" fillId="4" borderId="0" xfId="0" applyNumberFormat="1" applyFont="1" applyFill="1" applyAlignment="1">
      <alignment horizontal="center" vertical="top" wrapText="1"/>
    </xf>
    <xf numFmtId="164" fontId="13" fillId="4" borderId="7" xfId="0" applyNumberFormat="1" applyFont="1" applyFill="1" applyBorder="1" applyAlignment="1">
      <alignment horizontal="center" vertical="top" wrapText="1"/>
    </xf>
    <xf numFmtId="0" fontId="18" fillId="4" borderId="0" xfId="0" applyFont="1" applyFill="1" applyAlignment="1">
      <alignment horizontal="left" vertical="top" wrapText="1"/>
    </xf>
    <xf numFmtId="0" fontId="13" fillId="4" borderId="6" xfId="0" applyFont="1" applyFill="1" applyBorder="1" applyAlignment="1">
      <alignment horizontal="left" wrapText="1"/>
    </xf>
    <xf numFmtId="0" fontId="13" fillId="4" borderId="8" xfId="0" applyFont="1" applyFill="1" applyBorder="1" applyAlignment="1">
      <alignment horizontal="left" wrapText="1"/>
    </xf>
    <xf numFmtId="0" fontId="14" fillId="4" borderId="4" xfId="0" applyFont="1" applyFill="1" applyBorder="1" applyAlignment="1">
      <alignment horizontal="left" vertical="top" wrapText="1"/>
    </xf>
    <xf numFmtId="0" fontId="14" fillId="4" borderId="0" xfId="0" applyFont="1" applyFill="1" applyAlignment="1">
      <alignment horizontal="left" vertical="top" wrapText="1"/>
    </xf>
    <xf numFmtId="0" fontId="17" fillId="6" borderId="13" xfId="0" applyFont="1" applyFill="1" applyBorder="1" applyAlignment="1">
      <alignment vertical="top"/>
    </xf>
    <xf numFmtId="0" fontId="17" fillId="6" borderId="14" xfId="0" applyFont="1" applyFill="1" applyBorder="1" applyAlignment="1">
      <alignment vertical="top"/>
    </xf>
    <xf numFmtId="0" fontId="17" fillId="6" borderId="15" xfId="0" applyFont="1" applyFill="1" applyBorder="1" applyAlignment="1">
      <alignment vertical="top"/>
    </xf>
    <xf numFmtId="164" fontId="14" fillId="4" borderId="9" xfId="0" applyNumberFormat="1" applyFont="1" applyFill="1" applyBorder="1" applyAlignment="1">
      <alignment horizontal="center" vertical="top" wrapText="1"/>
    </xf>
    <xf numFmtId="0" fontId="0" fillId="0" borderId="9" xfId="0" applyBorder="1" applyAlignment="1">
      <alignment horizontal="center" vertical="top" wrapText="1"/>
    </xf>
    <xf numFmtId="0" fontId="94" fillId="4" borderId="4" xfId="2" applyFont="1" applyFill="1" applyBorder="1" applyAlignment="1">
      <alignment horizontal="center" vertical="top" wrapText="1"/>
    </xf>
    <xf numFmtId="0" fontId="95" fillId="4" borderId="0" xfId="2" applyFont="1" applyFill="1" applyBorder="1" applyAlignment="1">
      <alignment horizontal="center" vertical="top" wrapText="1"/>
    </xf>
    <xf numFmtId="0" fontId="11" fillId="3" borderId="13" xfId="0" applyFont="1" applyFill="1" applyBorder="1" applyAlignment="1">
      <alignment vertical="center" wrapText="1"/>
    </xf>
    <xf numFmtId="0" fontId="11" fillId="3" borderId="14" xfId="0" applyFont="1" applyFill="1" applyBorder="1" applyAlignment="1">
      <alignment vertical="center" wrapText="1"/>
    </xf>
    <xf numFmtId="0" fontId="11" fillId="3" borderId="15" xfId="0" applyFont="1" applyFill="1" applyBorder="1" applyAlignment="1">
      <alignment vertical="center" wrapText="1"/>
    </xf>
    <xf numFmtId="0" fontId="5" fillId="4" borderId="13" xfId="0" applyFont="1" applyFill="1" applyBorder="1" applyAlignment="1">
      <alignment horizontal="left" vertical="top"/>
    </xf>
    <xf numFmtId="0" fontId="5" fillId="4" borderId="14" xfId="0" applyFont="1" applyFill="1" applyBorder="1" applyAlignment="1">
      <alignment horizontal="left" vertical="top"/>
    </xf>
    <xf numFmtId="0" fontId="5" fillId="4" borderId="15" xfId="0" applyFont="1" applyFill="1" applyBorder="1" applyAlignment="1">
      <alignment horizontal="left" vertical="top"/>
    </xf>
    <xf numFmtId="0" fontId="93" fillId="0" borderId="4" xfId="0" applyFont="1" applyBorder="1" applyAlignment="1">
      <alignment horizontal="center" vertical="top" wrapText="1"/>
    </xf>
    <xf numFmtId="0" fontId="93" fillId="0" borderId="0" xfId="0" applyFont="1" applyAlignment="1">
      <alignment horizontal="center" vertical="top" wrapText="1"/>
    </xf>
    <xf numFmtId="0" fontId="93" fillId="0" borderId="5" xfId="0" applyFont="1" applyBorder="1" applyAlignment="1">
      <alignment horizontal="center" vertical="top" wrapText="1"/>
    </xf>
    <xf numFmtId="0" fontId="2" fillId="4" borderId="13" xfId="2" applyFill="1" applyBorder="1" applyAlignment="1">
      <alignment horizontal="center"/>
    </xf>
    <xf numFmtId="0" fontId="14" fillId="6" borderId="13" xfId="0" applyFont="1" applyFill="1" applyBorder="1" applyAlignment="1">
      <alignment horizontal="left" vertical="top" wrapText="1"/>
    </xf>
    <xf numFmtId="0" fontId="14" fillId="6" borderId="14" xfId="0" applyFont="1" applyFill="1" applyBorder="1" applyAlignment="1">
      <alignment horizontal="left" vertical="top" wrapText="1"/>
    </xf>
    <xf numFmtId="0" fontId="14" fillId="6" borderId="15" xfId="0" applyFont="1" applyFill="1" applyBorder="1" applyAlignment="1">
      <alignment horizontal="left" vertical="top" wrapText="1"/>
    </xf>
    <xf numFmtId="0" fontId="14" fillId="4" borderId="13" xfId="0" applyFont="1" applyFill="1" applyBorder="1" applyAlignment="1">
      <alignment horizontal="center" vertical="center" wrapText="1"/>
    </xf>
    <xf numFmtId="0" fontId="14" fillId="4" borderId="15" xfId="0" applyFont="1" applyFill="1" applyBorder="1" applyAlignment="1">
      <alignment horizontal="center" vertical="center" wrapText="1"/>
    </xf>
    <xf numFmtId="0" fontId="96" fillId="4" borderId="4" xfId="0" applyFont="1" applyFill="1" applyBorder="1" applyAlignment="1">
      <alignment horizontal="center" vertical="top" wrapText="1"/>
    </xf>
    <xf numFmtId="0" fontId="7" fillId="4" borderId="0" xfId="0" applyFont="1" applyFill="1" applyAlignment="1">
      <alignment horizontal="center" vertical="top" wrapText="1"/>
    </xf>
    <xf numFmtId="0" fontId="5" fillId="4" borderId="13" xfId="0" applyFont="1" applyFill="1" applyBorder="1" applyAlignment="1">
      <alignment horizontal="center" vertical="top"/>
    </xf>
    <xf numFmtId="0" fontId="5" fillId="4" borderId="14" xfId="0" applyFont="1" applyFill="1" applyBorder="1" applyAlignment="1">
      <alignment horizontal="center" vertical="top"/>
    </xf>
    <xf numFmtId="0" fontId="5" fillId="4" borderId="1" xfId="0" applyFont="1" applyFill="1" applyBorder="1" applyAlignment="1">
      <alignment horizontal="center" vertical="top" wrapText="1"/>
    </xf>
    <xf numFmtId="0" fontId="5" fillId="4" borderId="2" xfId="0" applyFont="1" applyFill="1" applyBorder="1" applyAlignment="1">
      <alignment horizontal="center" vertical="top" wrapText="1"/>
    </xf>
    <xf numFmtId="0" fontId="0" fillId="4" borderId="13" xfId="0" applyFill="1" applyBorder="1" applyAlignment="1">
      <alignment horizontal="center" wrapText="1"/>
    </xf>
    <xf numFmtId="0" fontId="0" fillId="4" borderId="14" xfId="0" applyFill="1" applyBorder="1" applyAlignment="1">
      <alignment horizontal="center" wrapText="1"/>
    </xf>
    <xf numFmtId="0" fontId="13" fillId="4" borderId="9" xfId="0" applyFont="1" applyFill="1" applyBorder="1" applyAlignment="1">
      <alignment horizontal="center" vertical="center" wrapText="1"/>
    </xf>
    <xf numFmtId="0" fontId="13" fillId="4" borderId="13"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13" fillId="4" borderId="15"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7" xfId="0" applyFont="1" applyFill="1" applyBorder="1" applyAlignment="1">
      <alignment horizontal="left" vertical="center" wrapText="1"/>
    </xf>
    <xf numFmtId="0" fontId="14" fillId="4" borderId="4" xfId="0" applyFont="1" applyFill="1" applyBorder="1" applyAlignment="1">
      <alignment horizontal="center" vertical="top" wrapText="1"/>
    </xf>
    <xf numFmtId="0" fontId="14" fillId="4" borderId="0" xfId="0" applyFont="1" applyFill="1" applyAlignment="1">
      <alignment horizontal="center" vertical="top" wrapText="1"/>
    </xf>
    <xf numFmtId="164" fontId="13" fillId="4" borderId="13" xfId="0" applyNumberFormat="1" applyFont="1" applyFill="1" applyBorder="1" applyAlignment="1">
      <alignment horizontal="center" vertical="top"/>
    </xf>
    <xf numFmtId="164" fontId="13" fillId="4" borderId="14" xfId="0" applyNumberFormat="1" applyFont="1" applyFill="1" applyBorder="1" applyAlignment="1">
      <alignment horizontal="center" vertical="top"/>
    </xf>
    <xf numFmtId="164" fontId="13" fillId="4" borderId="15" xfId="0" applyNumberFormat="1" applyFont="1" applyFill="1" applyBorder="1" applyAlignment="1">
      <alignment horizontal="center" vertical="top"/>
    </xf>
    <xf numFmtId="164" fontId="14" fillId="4" borderId="10" xfId="0" applyNumberFormat="1" applyFont="1" applyFill="1" applyBorder="1" applyAlignment="1">
      <alignment horizontal="center" vertical="top" wrapText="1"/>
    </xf>
    <xf numFmtId="0" fontId="0" fillId="0" borderId="10" xfId="0" applyBorder="1" applyAlignment="1">
      <alignment horizontal="center" vertical="top" wrapText="1"/>
    </xf>
    <xf numFmtId="0" fontId="12" fillId="4" borderId="14" xfId="0" applyFont="1" applyFill="1" applyBorder="1" applyAlignment="1">
      <alignment horizontal="center" vertical="top"/>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0" xfId="0" applyAlignment="1">
      <alignment horizontal="center" wrapText="1"/>
    </xf>
    <xf numFmtId="0" fontId="0" fillId="0" borderId="5" xfId="0" applyBorder="1" applyAlignment="1">
      <alignment horizontal="center" wrapText="1"/>
    </xf>
    <xf numFmtId="0" fontId="0" fillId="4" borderId="13" xfId="0" applyFill="1" applyBorder="1" applyAlignment="1">
      <alignment horizontal="center"/>
    </xf>
    <xf numFmtId="0" fontId="0" fillId="4" borderId="14" xfId="0" applyFill="1" applyBorder="1" applyAlignment="1">
      <alignment horizontal="center"/>
    </xf>
    <xf numFmtId="4" fontId="14" fillId="4" borderId="13" xfId="0" applyNumberFormat="1" applyFont="1" applyFill="1" applyBorder="1" applyAlignment="1">
      <alignment horizontal="center" vertical="center" wrapText="1"/>
    </xf>
    <xf numFmtId="0" fontId="14" fillId="4" borderId="4" xfId="0" applyFont="1" applyFill="1" applyBorder="1" applyAlignment="1">
      <alignment horizontal="center" vertical="top"/>
    </xf>
    <xf numFmtId="0" fontId="14" fillId="4" borderId="0" xfId="0" applyFont="1" applyFill="1" applyAlignment="1">
      <alignment horizontal="center" vertical="top"/>
    </xf>
    <xf numFmtId="0" fontId="14" fillId="4" borderId="5" xfId="0" applyFont="1" applyFill="1" applyBorder="1" applyAlignment="1">
      <alignment horizontal="center" vertical="top"/>
    </xf>
    <xf numFmtId="0" fontId="11" fillId="0" borderId="6" xfId="0" applyFont="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14" fillId="6" borderId="13" xfId="0" applyFont="1" applyFill="1" applyBorder="1" applyAlignment="1">
      <alignment horizontal="left" vertical="top"/>
    </xf>
    <xf numFmtId="0" fontId="14" fillId="6" borderId="14" xfId="0" applyFont="1" applyFill="1" applyBorder="1" applyAlignment="1">
      <alignment horizontal="left" vertical="top"/>
    </xf>
    <xf numFmtId="0" fontId="14" fillId="6" borderId="15" xfId="0" applyFont="1" applyFill="1" applyBorder="1" applyAlignment="1">
      <alignment horizontal="left" vertical="top"/>
    </xf>
    <xf numFmtId="0" fontId="2" fillId="0" borderId="9" xfId="2" applyBorder="1" applyAlignment="1">
      <alignment horizontal="center"/>
    </xf>
    <xf numFmtId="0" fontId="2" fillId="4" borderId="6" xfId="2" applyFill="1" applyBorder="1" applyAlignment="1">
      <alignment horizontal="center"/>
    </xf>
    <xf numFmtId="0" fontId="2" fillId="4" borderId="7" xfId="2" applyFill="1" applyBorder="1" applyAlignment="1">
      <alignment horizontal="center"/>
    </xf>
    <xf numFmtId="0" fontId="2" fillId="4" borderId="8" xfId="2" applyFill="1" applyBorder="1" applyAlignment="1">
      <alignment horizontal="center"/>
    </xf>
    <xf numFmtId="0" fontId="13" fillId="4" borderId="13" xfId="0" applyFont="1" applyFill="1" applyBorder="1" applyAlignment="1">
      <alignment horizontal="left" vertical="center" wrapText="1"/>
    </xf>
    <xf numFmtId="0" fontId="13" fillId="4" borderId="14" xfId="0" applyFont="1" applyFill="1" applyBorder="1" applyAlignment="1">
      <alignment horizontal="left" vertical="center" wrapText="1"/>
    </xf>
    <xf numFmtId="0" fontId="13" fillId="4" borderId="15" xfId="0" applyFont="1" applyFill="1" applyBorder="1" applyAlignment="1">
      <alignment horizontal="left" vertical="center" wrapText="1"/>
    </xf>
    <xf numFmtId="0" fontId="14" fillId="4" borderId="13" xfId="0" applyFont="1" applyFill="1" applyBorder="1" applyAlignment="1">
      <alignment horizontal="left" vertical="center" wrapText="1"/>
    </xf>
    <xf numFmtId="0" fontId="14" fillId="4" borderId="14" xfId="0" applyFont="1" applyFill="1" applyBorder="1" applyAlignment="1">
      <alignment horizontal="left" vertical="center" wrapText="1"/>
    </xf>
    <xf numFmtId="0" fontId="14" fillId="4" borderId="15" xfId="0" applyFont="1" applyFill="1" applyBorder="1" applyAlignment="1">
      <alignment horizontal="left" vertical="center" wrapText="1"/>
    </xf>
    <xf numFmtId="0" fontId="5" fillId="4" borderId="24" xfId="0" applyFont="1" applyFill="1" applyBorder="1" applyAlignment="1">
      <alignment horizontal="center" vertical="top" wrapText="1"/>
    </xf>
    <xf numFmtId="0" fontId="5" fillId="4" borderId="0" xfId="0" applyFont="1" applyFill="1" applyAlignment="1">
      <alignment horizontal="center" vertical="top" wrapText="1"/>
    </xf>
    <xf numFmtId="0" fontId="5" fillId="4" borderId="28" xfId="0" applyFont="1" applyFill="1" applyBorder="1" applyAlignment="1">
      <alignment horizontal="center" vertical="top" wrapText="1"/>
    </xf>
    <xf numFmtId="0" fontId="5" fillId="4" borderId="23" xfId="0" applyFont="1" applyFill="1" applyBorder="1" applyAlignment="1">
      <alignment horizontal="center" vertical="top" wrapText="1"/>
    </xf>
    <xf numFmtId="0" fontId="5" fillId="4" borderId="25" xfId="0" applyFont="1" applyFill="1" applyBorder="1" applyAlignment="1">
      <alignment horizontal="center" vertical="top" wrapText="1"/>
    </xf>
    <xf numFmtId="0" fontId="0" fillId="0" borderId="28" xfId="0" applyBorder="1" applyAlignment="1">
      <alignment horizontal="center"/>
    </xf>
    <xf numFmtId="0" fontId="5" fillId="4" borderId="22" xfId="0" applyFont="1" applyFill="1" applyBorder="1" applyAlignment="1">
      <alignment horizontal="center" vertical="top" wrapText="1"/>
    </xf>
    <xf numFmtId="0" fontId="5" fillId="4" borderId="26" xfId="0" applyFont="1" applyFill="1" applyBorder="1" applyAlignment="1">
      <alignment horizontal="center" vertical="top" wrapText="1"/>
    </xf>
    <xf numFmtId="0" fontId="5" fillId="4" borderId="33" xfId="0" applyFont="1" applyFill="1" applyBorder="1" applyAlignment="1">
      <alignment horizontal="center" vertical="top" wrapText="1"/>
    </xf>
    <xf numFmtId="0" fontId="5" fillId="4" borderId="27" xfId="0" applyFont="1" applyFill="1" applyBorder="1" applyAlignment="1">
      <alignment horizontal="center" vertical="top" wrapText="1"/>
    </xf>
    <xf numFmtId="0" fontId="107" fillId="4" borderId="22" xfId="0" applyFont="1" applyFill="1" applyBorder="1" applyAlignment="1">
      <alignment horizontal="center" vertical="top"/>
    </xf>
    <xf numFmtId="0" fontId="107" fillId="4" borderId="28" xfId="0" applyFont="1" applyFill="1" applyBorder="1" applyAlignment="1">
      <alignment horizontal="center" vertical="top"/>
    </xf>
    <xf numFmtId="0" fontId="107" fillId="4" borderId="46" xfId="0" applyFont="1" applyFill="1" applyBorder="1" applyAlignment="1">
      <alignment horizontal="center" vertical="top"/>
    </xf>
    <xf numFmtId="0" fontId="14" fillId="4" borderId="53" xfId="0" applyFont="1" applyFill="1" applyBorder="1" applyAlignment="1">
      <alignment horizontal="center" vertical="top"/>
    </xf>
    <xf numFmtId="0" fontId="14" fillId="4" borderId="54" xfId="0" applyFont="1" applyFill="1" applyBorder="1" applyAlignment="1">
      <alignment horizontal="center" vertical="top"/>
    </xf>
    <xf numFmtId="0" fontId="108" fillId="4" borderId="53" xfId="0" applyFont="1" applyFill="1" applyBorder="1" applyAlignment="1">
      <alignment horizontal="center" vertical="top"/>
    </xf>
    <xf numFmtId="0" fontId="108" fillId="4" borderId="54" xfId="0" applyFont="1" applyFill="1" applyBorder="1" applyAlignment="1">
      <alignment horizontal="center" vertical="top"/>
    </xf>
    <xf numFmtId="0" fontId="108" fillId="4" borderId="55" xfId="0" applyFont="1" applyFill="1" applyBorder="1" applyAlignment="1">
      <alignment horizontal="center" vertical="top"/>
    </xf>
    <xf numFmtId="0" fontId="13" fillId="4" borderId="64" xfId="0" applyFont="1" applyFill="1" applyBorder="1" applyAlignment="1">
      <alignment horizontal="center" vertical="top"/>
    </xf>
    <xf numFmtId="0" fontId="13" fillId="4" borderId="65" xfId="0" applyFont="1" applyFill="1" applyBorder="1" applyAlignment="1">
      <alignment horizontal="center" vertical="top"/>
    </xf>
    <xf numFmtId="0" fontId="13" fillId="4" borderId="66" xfId="0" applyFont="1" applyFill="1" applyBorder="1" applyAlignment="1">
      <alignment horizontal="center" vertical="top"/>
    </xf>
    <xf numFmtId="0" fontId="0" fillId="0" borderId="15" xfId="0" applyBorder="1"/>
    <xf numFmtId="0" fontId="14" fillId="4" borderId="10" xfId="0" applyFont="1" applyFill="1" applyBorder="1" applyAlignment="1">
      <alignment horizontal="left" vertical="center"/>
    </xf>
    <xf numFmtId="0" fontId="14" fillId="4" borderId="12" xfId="0" applyFont="1" applyFill="1" applyBorder="1" applyAlignment="1">
      <alignment horizontal="left" vertical="center"/>
    </xf>
    <xf numFmtId="0" fontId="14" fillId="4" borderId="10" xfId="0" applyFont="1" applyFill="1" applyBorder="1" applyAlignment="1">
      <alignment horizontal="left" vertical="center" wrapText="1"/>
    </xf>
    <xf numFmtId="0" fontId="14" fillId="4" borderId="12" xfId="0" applyFont="1" applyFill="1" applyBorder="1" applyAlignment="1">
      <alignment horizontal="left" vertical="center" wrapText="1"/>
    </xf>
    <xf numFmtId="0" fontId="12" fillId="4" borderId="83" xfId="0" applyFont="1" applyFill="1" applyBorder="1" applyAlignment="1">
      <alignment horizontal="center" vertical="top" wrapText="1"/>
    </xf>
    <xf numFmtId="0" fontId="12" fillId="4" borderId="81" xfId="0" applyFont="1" applyFill="1" applyBorder="1" applyAlignment="1">
      <alignment horizontal="center" vertical="top" wrapText="1"/>
    </xf>
    <xf numFmtId="0" fontId="11" fillId="3" borderId="4" xfId="0" applyFont="1" applyFill="1" applyBorder="1" applyAlignment="1">
      <alignment vertical="center" wrapText="1"/>
    </xf>
    <xf numFmtId="0" fontId="5" fillId="4" borderId="4" xfId="0" applyFont="1" applyFill="1" applyBorder="1" applyAlignment="1">
      <alignment horizontal="left" vertical="top"/>
    </xf>
    <xf numFmtId="0" fontId="75" fillId="4" borderId="0" xfId="0" applyFont="1" applyFill="1" applyAlignment="1">
      <alignment horizontal="center" wrapText="1"/>
    </xf>
    <xf numFmtId="0" fontId="14" fillId="4" borderId="0" xfId="0" applyFont="1" applyFill="1" applyAlignment="1">
      <alignment horizontal="left" vertical="center" wrapText="1"/>
    </xf>
    <xf numFmtId="0" fontId="2" fillId="6" borderId="13" xfId="2" applyFill="1" applyBorder="1" applyAlignment="1">
      <alignment horizontal="left" vertical="top" wrapText="1"/>
    </xf>
    <xf numFmtId="0" fontId="2" fillId="6" borderId="14" xfId="2" applyFill="1" applyBorder="1" applyAlignment="1">
      <alignment horizontal="left" vertical="top" wrapText="1"/>
    </xf>
    <xf numFmtId="0" fontId="2" fillId="6" borderId="15" xfId="2" applyFill="1" applyBorder="1" applyAlignment="1">
      <alignment horizontal="left" vertical="top" wrapText="1"/>
    </xf>
    <xf numFmtId="0" fontId="13" fillId="4" borderId="9" xfId="0" applyFont="1" applyFill="1" applyBorder="1" applyAlignment="1">
      <alignment horizontal="left" vertical="center" wrapText="1"/>
    </xf>
    <xf numFmtId="0" fontId="14" fillId="4" borderId="9" xfId="0" applyFont="1" applyFill="1" applyBorder="1" applyAlignment="1">
      <alignment horizontal="left" vertical="center" wrapText="1"/>
    </xf>
    <xf numFmtId="0" fontId="107" fillId="4" borderId="68" xfId="0" applyFont="1" applyFill="1" applyBorder="1" applyAlignment="1">
      <alignment horizontal="center" vertical="top"/>
    </xf>
    <xf numFmtId="0" fontId="107" fillId="4" borderId="69" xfId="0" applyFont="1" applyFill="1" applyBorder="1" applyAlignment="1">
      <alignment horizontal="center" vertical="top"/>
    </xf>
    <xf numFmtId="0" fontId="107" fillId="4" borderId="70" xfId="0" applyFont="1" applyFill="1" applyBorder="1" applyAlignment="1">
      <alignment horizontal="center" vertical="top"/>
    </xf>
    <xf numFmtId="0" fontId="108" fillId="4" borderId="69" xfId="0" applyFont="1" applyFill="1" applyBorder="1" applyAlignment="1">
      <alignment horizontal="center" vertical="top"/>
    </xf>
    <xf numFmtId="0" fontId="108" fillId="4" borderId="70" xfId="0" applyFont="1" applyFill="1" applyBorder="1" applyAlignment="1">
      <alignment horizontal="center" vertical="top"/>
    </xf>
    <xf numFmtId="0" fontId="13" fillId="4" borderId="78" xfId="0" applyFont="1" applyFill="1" applyBorder="1" applyAlignment="1">
      <alignment horizontal="center" vertical="top"/>
    </xf>
    <xf numFmtId="0" fontId="13" fillId="4" borderId="79" xfId="0" applyFont="1" applyFill="1" applyBorder="1" applyAlignment="1">
      <alignment horizontal="center" vertical="top"/>
    </xf>
    <xf numFmtId="0" fontId="14" fillId="4" borderId="68" xfId="0" applyFont="1" applyFill="1" applyBorder="1" applyAlignment="1">
      <alignment horizontal="center" vertical="top"/>
    </xf>
    <xf numFmtId="0" fontId="14" fillId="4" borderId="69" xfId="0" applyFont="1" applyFill="1" applyBorder="1" applyAlignment="1">
      <alignment horizontal="center" vertical="top"/>
    </xf>
    <xf numFmtId="0" fontId="14" fillId="4" borderId="70" xfId="0" applyFont="1" applyFill="1" applyBorder="1" applyAlignment="1">
      <alignment horizontal="center" vertical="top"/>
    </xf>
    <xf numFmtId="0" fontId="14" fillId="0" borderId="4" xfId="0" applyFont="1" applyBorder="1" applyAlignment="1">
      <alignment horizontal="center" vertical="top"/>
    </xf>
    <xf numFmtId="0" fontId="14" fillId="0" borderId="0" xfId="0" applyFont="1" applyAlignment="1">
      <alignment horizontal="center" vertical="top"/>
    </xf>
    <xf numFmtId="0" fontId="14" fillId="0" borderId="4" xfId="0" applyFont="1" applyBorder="1" applyAlignment="1">
      <alignment horizontal="left" vertical="top"/>
    </xf>
    <xf numFmtId="0" fontId="14" fillId="0" borderId="0" xfId="0" applyFont="1" applyAlignment="1">
      <alignment horizontal="left" vertical="top"/>
    </xf>
    <xf numFmtId="0" fontId="14" fillId="4" borderId="4" xfId="0" applyFont="1" applyFill="1" applyBorder="1" applyAlignment="1">
      <alignment horizontal="left" vertical="top" wrapText="1" indent="4"/>
    </xf>
    <xf numFmtId="0" fontId="0" fillId="0" borderId="14" xfId="0" applyBorder="1"/>
    <xf numFmtId="0" fontId="17" fillId="4" borderId="13" xfId="0" applyFont="1" applyFill="1" applyBorder="1" applyAlignment="1">
      <alignment horizontal="center" wrapText="1"/>
    </xf>
    <xf numFmtId="0" fontId="5" fillId="4" borderId="5" xfId="0" applyFont="1" applyFill="1" applyBorder="1" applyAlignment="1">
      <alignment horizontal="left" vertical="top"/>
    </xf>
    <xf numFmtId="0" fontId="17" fillId="4" borderId="10" xfId="0" applyFont="1" applyFill="1" applyBorder="1" applyAlignment="1">
      <alignment horizontal="center" wrapText="1"/>
    </xf>
    <xf numFmtId="0" fontId="9" fillId="4" borderId="13" xfId="0" applyFont="1" applyFill="1" applyBorder="1" applyAlignment="1">
      <alignment horizontal="center" wrapText="1"/>
    </xf>
    <xf numFmtId="0" fontId="9" fillId="4" borderId="14" xfId="0" applyFont="1" applyFill="1" applyBorder="1" applyAlignment="1">
      <alignment horizontal="center" wrapText="1"/>
    </xf>
    <xf numFmtId="0" fontId="5" fillId="4" borderId="3" xfId="0" applyFont="1" applyFill="1" applyBorder="1" applyAlignment="1">
      <alignment horizontal="left" vertical="top"/>
    </xf>
    <xf numFmtId="0" fontId="15" fillId="4" borderId="10" xfId="0" applyFont="1" applyFill="1" applyBorder="1" applyAlignment="1">
      <alignment horizontal="left" vertical="center" wrapText="1"/>
    </xf>
    <xf numFmtId="0" fontId="15" fillId="4" borderId="11" xfId="0" applyFont="1" applyFill="1" applyBorder="1" applyAlignment="1">
      <alignment horizontal="left" vertical="center" wrapText="1"/>
    </xf>
    <xf numFmtId="0" fontId="15" fillId="4" borderId="12" xfId="0" applyFont="1" applyFill="1" applyBorder="1" applyAlignment="1">
      <alignment horizontal="left" vertical="center" wrapText="1"/>
    </xf>
    <xf numFmtId="0" fontId="18" fillId="4" borderId="10" xfId="0" applyFont="1" applyFill="1" applyBorder="1" applyAlignment="1">
      <alignment horizontal="left" vertical="center" wrapText="1"/>
    </xf>
    <xf numFmtId="0" fontId="18" fillId="4" borderId="11" xfId="0" applyFont="1" applyFill="1" applyBorder="1" applyAlignment="1">
      <alignment horizontal="left" vertical="center" wrapText="1"/>
    </xf>
    <xf numFmtId="0" fontId="18" fillId="4" borderId="12" xfId="0" applyFont="1" applyFill="1" applyBorder="1" applyAlignment="1">
      <alignment horizontal="left" vertical="center" wrapText="1"/>
    </xf>
    <xf numFmtId="0" fontId="11" fillId="3" borderId="0" xfId="0" applyFont="1" applyFill="1" applyAlignment="1">
      <alignment vertical="center" wrapText="1"/>
    </xf>
    <xf numFmtId="0" fontId="2" fillId="4" borderId="4" xfId="2" applyFill="1" applyBorder="1" applyAlignment="1">
      <alignment horizontal="left" vertical="center"/>
    </xf>
    <xf numFmtId="0" fontId="2" fillId="4" borderId="0" xfId="2" applyFill="1" applyBorder="1" applyAlignment="1">
      <alignment horizontal="left" vertical="center"/>
    </xf>
    <xf numFmtId="4" fontId="17" fillId="6" borderId="13" xfId="0" applyNumberFormat="1" applyFont="1" applyFill="1" applyBorder="1" applyAlignment="1">
      <alignment horizontal="left" vertical="center"/>
    </xf>
    <xf numFmtId="4" fontId="17" fillId="6" borderId="14" xfId="0" applyNumberFormat="1" applyFont="1" applyFill="1" applyBorder="1" applyAlignment="1">
      <alignment horizontal="left" vertical="center"/>
    </xf>
    <xf numFmtId="4" fontId="17" fillId="6" borderId="15" xfId="0" applyNumberFormat="1" applyFont="1" applyFill="1" applyBorder="1" applyAlignment="1">
      <alignment horizontal="left" vertical="center"/>
    </xf>
    <xf numFmtId="0" fontId="14" fillId="4" borderId="13" xfId="0" applyFont="1" applyFill="1" applyBorder="1" applyAlignment="1">
      <alignment horizontal="left" wrapText="1"/>
    </xf>
    <xf numFmtId="0" fontId="14" fillId="4" borderId="14" xfId="0" applyFont="1" applyFill="1" applyBorder="1" applyAlignment="1">
      <alignment horizontal="left" wrapText="1"/>
    </xf>
    <xf numFmtId="0" fontId="14" fillId="4" borderId="15" xfId="0" applyFont="1" applyFill="1" applyBorder="1" applyAlignment="1">
      <alignment horizontal="left" wrapText="1"/>
    </xf>
    <xf numFmtId="4" fontId="17" fillId="4" borderId="13" xfId="0" applyNumberFormat="1" applyFont="1" applyFill="1" applyBorder="1" applyAlignment="1">
      <alignment horizontal="left" vertical="center"/>
    </xf>
    <xf numFmtId="4" fontId="17" fillId="4" borderId="15" xfId="0" applyNumberFormat="1" applyFont="1" applyFill="1" applyBorder="1" applyAlignment="1">
      <alignment horizontal="left" vertical="center"/>
    </xf>
    <xf numFmtId="4" fontId="17" fillId="4" borderId="2" xfId="0" applyNumberFormat="1" applyFont="1" applyFill="1" applyBorder="1" applyAlignment="1">
      <alignment horizontal="right" vertical="center"/>
    </xf>
    <xf numFmtId="4" fontId="17" fillId="4" borderId="3" xfId="0" applyNumberFormat="1" applyFont="1" applyFill="1" applyBorder="1" applyAlignment="1">
      <alignment horizontal="right" vertical="center"/>
    </xf>
    <xf numFmtId="0" fontId="36" fillId="4" borderId="13" xfId="0" applyFont="1" applyFill="1" applyBorder="1" applyAlignment="1">
      <alignment horizontal="left" vertical="center" wrapText="1"/>
    </xf>
    <xf numFmtId="0" fontId="36" fillId="4" borderId="14" xfId="0" applyFont="1" applyFill="1" applyBorder="1" applyAlignment="1">
      <alignment horizontal="left" vertical="center" wrapText="1"/>
    </xf>
    <xf numFmtId="0" fontId="36" fillId="4" borderId="15" xfId="0" applyFont="1" applyFill="1" applyBorder="1" applyAlignment="1">
      <alignment horizontal="left" vertical="center" wrapText="1"/>
    </xf>
    <xf numFmtId="0" fontId="0" fillId="0" borderId="0" xfId="0" applyAlignment="1">
      <alignment horizontal="center"/>
    </xf>
    <xf numFmtId="0" fontId="0" fillId="0" borderId="5" xfId="0" applyBorder="1" applyAlignment="1">
      <alignment horizontal="center"/>
    </xf>
    <xf numFmtId="0" fontId="0" fillId="6" borderId="9" xfId="0" applyFill="1" applyBorder="1" applyAlignment="1">
      <alignment horizontal="center"/>
    </xf>
    <xf numFmtId="0" fontId="0" fillId="6" borderId="15" xfId="0"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6" borderId="12" xfId="0" applyFill="1" applyBorder="1" applyAlignment="1">
      <alignment horizontal="center"/>
    </xf>
    <xf numFmtId="0" fontId="0" fillId="6" borderId="8" xfId="0" applyFill="1" applyBorder="1" applyAlignment="1">
      <alignment horizontal="center"/>
    </xf>
    <xf numFmtId="0" fontId="0" fillId="0" borderId="9" xfId="0" applyBorder="1" applyAlignment="1">
      <alignment horizontal="center"/>
    </xf>
    <xf numFmtId="0" fontId="10" fillId="8" borderId="10" xfId="0" applyFont="1" applyFill="1" applyBorder="1" applyAlignment="1">
      <alignment vertical="center" wrapText="1"/>
    </xf>
    <xf numFmtId="0" fontId="11" fillId="3" borderId="11" xfId="0" applyFont="1" applyFill="1" applyBorder="1" applyAlignment="1">
      <alignment vertical="center" wrapText="1"/>
    </xf>
    <xf numFmtId="0" fontId="2" fillId="4" borderId="1" xfId="2" applyFill="1" applyBorder="1" applyAlignment="1">
      <alignment horizontal="center"/>
    </xf>
    <xf numFmtId="0" fontId="2" fillId="4" borderId="10" xfId="2" applyFill="1" applyBorder="1" applyAlignment="1">
      <alignment horizontal="center"/>
    </xf>
    <xf numFmtId="0" fontId="99" fillId="0" borderId="1" xfId="0" applyFont="1" applyBorder="1" applyAlignment="1">
      <alignment horizontal="center" vertical="center" wrapText="1"/>
    </xf>
    <xf numFmtId="0" fontId="99" fillId="0" borderId="1" xfId="0" applyFont="1" applyBorder="1" applyAlignment="1">
      <alignment horizontal="center" vertical="center"/>
    </xf>
    <xf numFmtId="0" fontId="99" fillId="0" borderId="10" xfId="0" applyFont="1" applyBorder="1" applyAlignment="1">
      <alignment horizontal="center" vertical="center"/>
    </xf>
    <xf numFmtId="0" fontId="0" fillId="4" borderId="1" xfId="0" applyFill="1" applyBorder="1" applyAlignment="1">
      <alignment horizontal="center"/>
    </xf>
    <xf numFmtId="0" fontId="0" fillId="0" borderId="2" xfId="0" applyBorder="1" applyAlignment="1">
      <alignment horizontal="center"/>
    </xf>
    <xf numFmtId="191" fontId="102" fillId="0" borderId="1" xfId="0" applyNumberFormat="1" applyFont="1" applyBorder="1" applyAlignment="1">
      <alignment horizontal="center"/>
    </xf>
    <xf numFmtId="191" fontId="102" fillId="0" borderId="10" xfId="0" applyNumberFormat="1" applyFont="1" applyBorder="1" applyAlignment="1">
      <alignment horizontal="center"/>
    </xf>
    <xf numFmtId="0" fontId="0" fillId="0" borderId="1" xfId="0" applyBorder="1" applyAlignment="1">
      <alignment horizontal="center"/>
    </xf>
    <xf numFmtId="0" fontId="0" fillId="7" borderId="1" xfId="0" applyFill="1" applyBorder="1" applyAlignment="1">
      <alignment horizontal="center" wrapText="1"/>
    </xf>
    <xf numFmtId="191" fontId="102" fillId="0" borderId="0" xfId="0" applyNumberFormat="1" applyFont="1" applyAlignment="1">
      <alignment horizontal="center"/>
    </xf>
    <xf numFmtId="0" fontId="0" fillId="7" borderId="1" xfId="0" applyFill="1" applyBorder="1" applyAlignment="1">
      <alignment horizont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7" fillId="4" borderId="13" xfId="0" applyFont="1" applyFill="1" applyBorder="1" applyAlignment="1">
      <alignment horizontal="left"/>
    </xf>
    <xf numFmtId="0" fontId="17" fillId="4" borderId="14" xfId="0" applyFont="1" applyFill="1" applyBorder="1" applyAlignment="1">
      <alignment horizontal="left"/>
    </xf>
    <xf numFmtId="0" fontId="17" fillId="4" borderId="15" xfId="0" applyFont="1" applyFill="1" applyBorder="1" applyAlignment="1">
      <alignment horizontal="left"/>
    </xf>
    <xf numFmtId="0" fontId="17" fillId="4" borderId="9" xfId="0" applyFont="1" applyFill="1" applyBorder="1" applyAlignment="1">
      <alignment horizontal="left"/>
    </xf>
    <xf numFmtId="0" fontId="17" fillId="4" borderId="1"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7" fillId="4" borderId="6"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86" fillId="0" borderId="4" xfId="0" applyFont="1" applyBorder="1" applyAlignment="1">
      <alignment horizontal="center" wrapText="1"/>
    </xf>
    <xf numFmtId="0" fontId="86" fillId="0" borderId="0" xfId="0" applyFont="1" applyAlignment="1">
      <alignment horizontal="center" wrapText="1"/>
    </xf>
    <xf numFmtId="0" fontId="54" fillId="4" borderId="4" xfId="0" applyFont="1" applyFill="1" applyBorder="1" applyAlignment="1">
      <alignment horizontal="left" vertical="top" wrapText="1"/>
    </xf>
    <xf numFmtId="0" fontId="54" fillId="4" borderId="0" xfId="0" applyFont="1" applyFill="1" applyAlignment="1">
      <alignment horizontal="left" vertical="top" wrapText="1"/>
    </xf>
    <xf numFmtId="0" fontId="17" fillId="4" borderId="1" xfId="0" applyFont="1" applyFill="1" applyBorder="1" applyAlignment="1">
      <alignment horizontal="left" vertical="center" wrapText="1"/>
    </xf>
    <xf numFmtId="0" fontId="17" fillId="4" borderId="2" xfId="0" applyFont="1" applyFill="1" applyBorder="1" applyAlignment="1">
      <alignment horizontal="left" vertical="center" wrapText="1"/>
    </xf>
    <xf numFmtId="0" fontId="17" fillId="4" borderId="4" xfId="0" applyFont="1" applyFill="1" applyBorder="1" applyAlignment="1">
      <alignment horizontal="left" vertical="center" wrapText="1"/>
    </xf>
    <xf numFmtId="0" fontId="17" fillId="4" borderId="0" xfId="0" applyFont="1" applyFill="1" applyAlignment="1">
      <alignment horizontal="left" vertical="center" wrapText="1"/>
    </xf>
    <xf numFmtId="0" fontId="17" fillId="4" borderId="15" xfId="0" applyFont="1" applyFill="1" applyBorder="1" applyAlignment="1">
      <alignment horizontal="center" wrapText="1"/>
    </xf>
    <xf numFmtId="0" fontId="5" fillId="14" borderId="6" xfId="0" applyFont="1" applyFill="1" applyBorder="1" applyAlignment="1">
      <alignment horizontal="center" vertical="top" wrapText="1"/>
    </xf>
    <xf numFmtId="0" fontId="5" fillId="14" borderId="7" xfId="0" applyFont="1" applyFill="1" applyBorder="1" applyAlignment="1">
      <alignment horizontal="center" vertical="top" wrapText="1"/>
    </xf>
    <xf numFmtId="0" fontId="91" fillId="14" borderId="13" xfId="0" applyFont="1" applyFill="1" applyBorder="1" applyAlignment="1">
      <alignment horizontal="center" vertical="top" wrapText="1"/>
    </xf>
    <xf numFmtId="0" fontId="91" fillId="14" borderId="14" xfId="0" applyFont="1" applyFill="1" applyBorder="1" applyAlignment="1">
      <alignment horizontal="center" vertical="top" wrapText="1"/>
    </xf>
    <xf numFmtId="0" fontId="91" fillId="14" borderId="15" xfId="0" applyFont="1" applyFill="1" applyBorder="1" applyAlignment="1">
      <alignment horizontal="center" vertical="top" wrapText="1"/>
    </xf>
    <xf numFmtId="0" fontId="59" fillId="14" borderId="0" xfId="0" applyFont="1" applyFill="1" applyAlignment="1">
      <alignment horizontal="center" vertical="top" wrapText="1"/>
    </xf>
    <xf numFmtId="0" fontId="68" fillId="4" borderId="13" xfId="0" applyFont="1" applyFill="1" applyBorder="1" applyAlignment="1">
      <alignment horizontal="center" vertical="center" wrapText="1"/>
    </xf>
    <xf numFmtId="0" fontId="68" fillId="4" borderId="15" xfId="0" applyFont="1" applyFill="1" applyBorder="1" applyAlignment="1">
      <alignment horizontal="center" vertical="center" wrapText="1"/>
    </xf>
    <xf numFmtId="0" fontId="17" fillId="4" borderId="2" xfId="0" applyFont="1" applyFill="1" applyBorder="1" applyAlignment="1">
      <alignment horizontal="left" wrapText="1"/>
    </xf>
    <xf numFmtId="0" fontId="78" fillId="4" borderId="4" xfId="0" applyFont="1" applyFill="1" applyBorder="1" applyAlignment="1">
      <alignment horizontal="left" vertical="top" wrapText="1" indent="1"/>
    </xf>
    <xf numFmtId="0" fontId="78" fillId="4" borderId="4" xfId="0" applyFont="1" applyFill="1" applyBorder="1" applyAlignment="1">
      <alignment horizontal="left" vertical="center" wrapText="1" indent="1"/>
    </xf>
    <xf numFmtId="0" fontId="78" fillId="4" borderId="4" xfId="0" applyFont="1" applyFill="1" applyBorder="1" applyAlignment="1">
      <alignment horizontal="left" vertical="top" wrapText="1"/>
    </xf>
    <xf numFmtId="0" fontId="14" fillId="4" borderId="4" xfId="0" applyFont="1" applyFill="1" applyBorder="1" applyAlignment="1">
      <alignment horizontal="left" vertical="center" wrapText="1"/>
    </xf>
    <xf numFmtId="0" fontId="90" fillId="14" borderId="6" xfId="0" applyFont="1" applyFill="1" applyBorder="1" applyAlignment="1">
      <alignment horizontal="center" vertical="top" wrapText="1"/>
    </xf>
    <xf numFmtId="0" fontId="90" fillId="14" borderId="7" xfId="0" applyFont="1" applyFill="1" applyBorder="1" applyAlignment="1">
      <alignment horizontal="center" vertical="top" wrapText="1"/>
    </xf>
    <xf numFmtId="0" fontId="90" fillId="14" borderId="8" xfId="0" applyFont="1" applyFill="1" applyBorder="1" applyAlignment="1">
      <alignment horizontal="center" vertical="top" wrapText="1"/>
    </xf>
    <xf numFmtId="0" fontId="87" fillId="0" borderId="13" xfId="0" applyFont="1" applyBorder="1" applyAlignment="1">
      <alignment horizontal="center"/>
    </xf>
    <xf numFmtId="0" fontId="87" fillId="0" borderId="14" xfId="0" applyFont="1" applyBorder="1" applyAlignment="1">
      <alignment horizontal="center"/>
    </xf>
    <xf numFmtId="0" fontId="87" fillId="0" borderId="15" xfId="0" applyFont="1" applyBorder="1" applyAlignment="1">
      <alignment horizontal="center"/>
    </xf>
    <xf numFmtId="0" fontId="87" fillId="0" borderId="4" xfId="0" applyFont="1" applyBorder="1" applyAlignment="1">
      <alignment horizontal="center"/>
    </xf>
    <xf numFmtId="0" fontId="87" fillId="0" borderId="0" xfId="0" applyFont="1" applyAlignment="1">
      <alignment horizontal="center"/>
    </xf>
    <xf numFmtId="0" fontId="87" fillId="0" borderId="7" xfId="0" applyFont="1" applyBorder="1" applyAlignment="1">
      <alignment horizontal="center"/>
    </xf>
    <xf numFmtId="0" fontId="87" fillId="0" borderId="8" xfId="0" applyFont="1" applyBorder="1" applyAlignment="1">
      <alignment horizontal="center"/>
    </xf>
    <xf numFmtId="0" fontId="102" fillId="0" borderId="1" xfId="0" applyFont="1" applyBorder="1" applyAlignment="1">
      <alignment horizontal="center"/>
    </xf>
    <xf numFmtId="0" fontId="102" fillId="0" borderId="32" xfId="0" applyFont="1" applyBorder="1" applyAlignment="1">
      <alignment horizontal="center"/>
    </xf>
    <xf numFmtId="0" fontId="102" fillId="0" borderId="31" xfId="0" applyFont="1" applyBorder="1" applyAlignment="1">
      <alignment horizontal="center"/>
    </xf>
    <xf numFmtId="0" fontId="102" fillId="4" borderId="1" xfId="0" applyFont="1" applyFill="1" applyBorder="1" applyAlignment="1">
      <alignment horizontal="center"/>
    </xf>
    <xf numFmtId="0" fontId="102" fillId="4" borderId="32" xfId="0" applyFont="1" applyFill="1" applyBorder="1" applyAlignment="1">
      <alignment horizontal="center"/>
    </xf>
    <xf numFmtId="0" fontId="102" fillId="4" borderId="31" xfId="0" applyFont="1" applyFill="1" applyBorder="1" applyAlignment="1">
      <alignment horizontal="center"/>
    </xf>
    <xf numFmtId="44" fontId="100" fillId="0" borderId="2" xfId="5" applyFont="1" applyBorder="1" applyAlignment="1">
      <alignment horizontal="center" vertical="center"/>
    </xf>
    <xf numFmtId="44" fontId="100" fillId="0" borderId="7" xfId="5" applyFont="1" applyBorder="1" applyAlignment="1">
      <alignment horizontal="center" vertical="center"/>
    </xf>
    <xf numFmtId="0" fontId="51" fillId="6" borderId="9" xfId="0" applyFont="1" applyFill="1" applyBorder="1" applyAlignment="1">
      <alignment horizontal="center" vertical="center"/>
    </xf>
    <xf numFmtId="44" fontId="100" fillId="0" borderId="1" xfId="5" applyFont="1" applyBorder="1" applyAlignment="1">
      <alignment horizontal="center" vertical="center"/>
    </xf>
    <xf numFmtId="44" fontId="100" fillId="0" borderId="6" xfId="5" applyFont="1" applyBorder="1" applyAlignment="1">
      <alignment horizontal="center" vertical="center"/>
    </xf>
    <xf numFmtId="0" fontId="87" fillId="0" borderId="1" xfId="0" applyFont="1" applyBorder="1" applyAlignment="1">
      <alignment horizontal="center"/>
    </xf>
    <xf numFmtId="0" fontId="87" fillId="0" borderId="2" xfId="0" applyFont="1" applyBorder="1" applyAlignment="1">
      <alignment horizontal="center"/>
    </xf>
    <xf numFmtId="0" fontId="87" fillId="0" borderId="3" xfId="0" applyFont="1" applyBorder="1" applyAlignment="1">
      <alignment horizontal="center"/>
    </xf>
    <xf numFmtId="0" fontId="87" fillId="0" borderId="1" xfId="0" applyFont="1" applyBorder="1" applyAlignment="1">
      <alignment horizontal="center" wrapText="1"/>
    </xf>
    <xf numFmtId="0" fontId="87" fillId="0" borderId="2" xfId="0" applyFont="1" applyBorder="1" applyAlignment="1">
      <alignment horizontal="center" wrapText="1"/>
    </xf>
    <xf numFmtId="0" fontId="87" fillId="0" borderId="14" xfId="0" applyFont="1" applyBorder="1" applyAlignment="1">
      <alignment horizontal="center" wrapText="1"/>
    </xf>
    <xf numFmtId="0" fontId="87" fillId="0" borderId="15" xfId="0" applyFont="1" applyBorder="1" applyAlignment="1">
      <alignment horizontal="center" wrapText="1"/>
    </xf>
    <xf numFmtId="0" fontId="87" fillId="0" borderId="32" xfId="0" applyFont="1" applyBorder="1" applyAlignment="1">
      <alignment horizontal="center"/>
    </xf>
    <xf numFmtId="0" fontId="87" fillId="0" borderId="31" xfId="0" applyFont="1" applyBorder="1" applyAlignment="1">
      <alignment horizontal="center"/>
    </xf>
    <xf numFmtId="0" fontId="87" fillId="0" borderId="85" xfId="0" applyFont="1" applyBorder="1" applyAlignment="1">
      <alignment horizontal="center"/>
    </xf>
    <xf numFmtId="0" fontId="87" fillId="0" borderId="22" xfId="0" applyFont="1" applyBorder="1" applyAlignment="1">
      <alignment horizontal="center"/>
    </xf>
    <xf numFmtId="0" fontId="87" fillId="0" borderId="86" xfId="0" applyFont="1" applyBorder="1" applyAlignment="1">
      <alignment horizontal="center"/>
    </xf>
    <xf numFmtId="0" fontId="113" fillId="0" borderId="1" xfId="0" applyFont="1" applyBorder="1" applyAlignment="1">
      <alignment horizontal="center" vertical="center"/>
    </xf>
    <xf numFmtId="0" fontId="113" fillId="0" borderId="2" xfId="0" applyFont="1" applyBorder="1" applyAlignment="1">
      <alignment horizontal="center" vertical="center"/>
    </xf>
    <xf numFmtId="0" fontId="113" fillId="0" borderId="3" xfId="0" applyFont="1" applyBorder="1" applyAlignment="1">
      <alignment horizontal="center" vertical="center"/>
    </xf>
    <xf numFmtId="0" fontId="113" fillId="0" borderId="4" xfId="0" applyFont="1" applyBorder="1" applyAlignment="1">
      <alignment horizontal="center" vertical="center"/>
    </xf>
    <xf numFmtId="0" fontId="113" fillId="0" borderId="0" xfId="0" applyFont="1" applyAlignment="1">
      <alignment horizontal="center" vertical="center"/>
    </xf>
    <xf numFmtId="0" fontId="113" fillId="0" borderId="7" xfId="0" applyFont="1" applyBorder="1" applyAlignment="1">
      <alignment horizontal="center" vertical="center"/>
    </xf>
    <xf numFmtId="0" fontId="113" fillId="0" borderId="5" xfId="0" applyFont="1" applyBorder="1" applyAlignment="1">
      <alignment horizontal="center" vertical="center"/>
    </xf>
    <xf numFmtId="0" fontId="0" fillId="0" borderId="14" xfId="0" applyBorder="1" applyAlignment="1">
      <alignment vertical="top"/>
    </xf>
    <xf numFmtId="0" fontId="0" fillId="0" borderId="15" xfId="0" applyBorder="1" applyAlignment="1">
      <alignment vertical="top"/>
    </xf>
    <xf numFmtId="0" fontId="14" fillId="4" borderId="1" xfId="0" applyFont="1" applyFill="1" applyBorder="1" applyAlignment="1">
      <alignment horizontal="left" vertical="top" wrapText="1"/>
    </xf>
    <xf numFmtId="0" fontId="14" fillId="4" borderId="2" xfId="0" applyFont="1" applyFill="1" applyBorder="1" applyAlignment="1">
      <alignment horizontal="left" vertical="top" wrapText="1"/>
    </xf>
    <xf numFmtId="0" fontId="14" fillId="4" borderId="6" xfId="0" applyFont="1" applyFill="1" applyBorder="1" applyAlignment="1">
      <alignment horizontal="left" vertical="top" wrapText="1"/>
    </xf>
    <xf numFmtId="0" fontId="14" fillId="4" borderId="7" xfId="0" applyFont="1" applyFill="1" applyBorder="1" applyAlignment="1">
      <alignment horizontal="left" vertical="top" wrapText="1"/>
    </xf>
    <xf numFmtId="0" fontId="87" fillId="0" borderId="4" xfId="0" applyFont="1" applyBorder="1" applyAlignment="1">
      <alignment horizontal="center" wrapText="1"/>
    </xf>
    <xf numFmtId="0" fontId="87" fillId="0" borderId="0" xfId="0" applyFont="1" applyAlignment="1">
      <alignment horizontal="center" wrapText="1"/>
    </xf>
    <xf numFmtId="0" fontId="87" fillId="0" borderId="3" xfId="0" applyFont="1" applyBorder="1" applyAlignment="1">
      <alignment horizontal="center" wrapText="1"/>
    </xf>
    <xf numFmtId="0" fontId="14" fillId="4" borderId="13" xfId="0" applyFont="1" applyFill="1" applyBorder="1" applyAlignment="1">
      <alignment horizontal="left" vertical="top" wrapText="1"/>
    </xf>
    <xf numFmtId="0" fontId="14" fillId="4" borderId="14" xfId="0" applyFont="1" applyFill="1" applyBorder="1" applyAlignment="1">
      <alignment horizontal="left" vertical="top" wrapText="1"/>
    </xf>
    <xf numFmtId="0" fontId="14" fillId="4" borderId="15" xfId="0" applyFont="1" applyFill="1" applyBorder="1" applyAlignment="1">
      <alignment horizontal="left" vertical="top" wrapText="1"/>
    </xf>
    <xf numFmtId="0" fontId="13" fillId="4" borderId="29" xfId="0" applyFont="1" applyFill="1" applyBorder="1" applyAlignment="1">
      <alignment horizontal="left" vertical="center" wrapText="1"/>
    </xf>
    <xf numFmtId="0" fontId="13" fillId="4" borderId="40" xfId="0" applyFont="1" applyFill="1" applyBorder="1" applyAlignment="1">
      <alignment horizontal="left" vertical="center" wrapText="1"/>
    </xf>
    <xf numFmtId="0" fontId="14" fillId="4" borderId="29" xfId="0" applyFont="1" applyFill="1" applyBorder="1" applyAlignment="1">
      <alignment horizontal="left" vertical="center" wrapText="1"/>
    </xf>
    <xf numFmtId="0" fontId="14" fillId="4" borderId="40" xfId="0" applyFont="1" applyFill="1" applyBorder="1" applyAlignment="1">
      <alignment horizontal="left" vertical="center" wrapText="1"/>
    </xf>
    <xf numFmtId="0" fontId="87" fillId="0" borderId="6" xfId="0" applyFont="1" applyBorder="1" applyAlignment="1">
      <alignment horizontal="center" wrapText="1"/>
    </xf>
    <xf numFmtId="0" fontId="87" fillId="0" borderId="7" xfId="0" applyFont="1" applyBorder="1" applyAlignment="1">
      <alignment horizontal="center" wrapText="1"/>
    </xf>
    <xf numFmtId="0" fontId="14" fillId="4" borderId="13" xfId="0" applyFont="1" applyFill="1" applyBorder="1" applyAlignment="1">
      <alignment horizontal="left" vertical="center"/>
    </xf>
    <xf numFmtId="0" fontId="14" fillId="4" borderId="15" xfId="0" applyFont="1" applyFill="1" applyBorder="1" applyAlignment="1">
      <alignment horizontal="left" vertical="center"/>
    </xf>
    <xf numFmtId="0" fontId="17" fillId="4" borderId="4" xfId="0" applyFont="1" applyFill="1" applyBorder="1" applyAlignment="1">
      <alignment horizontal="left" wrapText="1" indent="1"/>
    </xf>
    <xf numFmtId="0" fontId="17" fillId="4" borderId="0" xfId="0" applyFont="1" applyFill="1" applyAlignment="1">
      <alignment horizontal="left" wrapText="1" indent="1"/>
    </xf>
    <xf numFmtId="0" fontId="17" fillId="4" borderId="5" xfId="0" applyFont="1" applyFill="1" applyBorder="1" applyAlignment="1">
      <alignment horizontal="left" wrapText="1" indent="1"/>
    </xf>
    <xf numFmtId="0" fontId="17" fillId="4" borderId="13" xfId="0" applyFont="1" applyFill="1" applyBorder="1" applyAlignment="1">
      <alignment horizontal="center"/>
    </xf>
    <xf numFmtId="0" fontId="17" fillId="4" borderId="15" xfId="0" applyFont="1" applyFill="1" applyBorder="1" applyAlignment="1">
      <alignment horizontal="center"/>
    </xf>
    <xf numFmtId="0" fontId="17" fillId="4" borderId="13" xfId="0" applyFont="1" applyFill="1" applyBorder="1" applyAlignment="1">
      <alignment horizontal="left" vertical="center"/>
    </xf>
    <xf numFmtId="0" fontId="17" fillId="4" borderId="15" xfId="0" applyFont="1" applyFill="1" applyBorder="1" applyAlignment="1">
      <alignment horizontal="left" vertical="center"/>
    </xf>
    <xf numFmtId="0" fontId="13" fillId="4" borderId="4" xfId="0" applyFont="1" applyFill="1" applyBorder="1" applyAlignment="1">
      <alignment horizontal="left" wrapText="1"/>
    </xf>
    <xf numFmtId="0" fontId="13" fillId="4" borderId="0" xfId="0" applyFont="1" applyFill="1" applyAlignment="1">
      <alignment horizontal="left" wrapText="1"/>
    </xf>
    <xf numFmtId="0" fontId="13" fillId="4" borderId="5" xfId="0" applyFont="1" applyFill="1" applyBorder="1" applyAlignment="1">
      <alignment horizontal="left" wrapText="1"/>
    </xf>
    <xf numFmtId="0" fontId="70" fillId="9" borderId="16" xfId="3" applyFont="1" applyFill="1" applyBorder="1" applyAlignment="1">
      <alignment horizontal="center" wrapText="1"/>
    </xf>
    <xf numFmtId="0" fontId="70" fillId="9" borderId="17" xfId="3" applyFont="1" applyFill="1" applyBorder="1" applyAlignment="1">
      <alignment horizontal="center" wrapText="1"/>
    </xf>
    <xf numFmtId="0" fontId="70" fillId="9" borderId="18" xfId="3" applyFont="1" applyFill="1" applyBorder="1" applyAlignment="1">
      <alignment horizontal="center" wrapText="1"/>
    </xf>
    <xf numFmtId="0" fontId="70" fillId="9" borderId="19" xfId="3" applyFont="1" applyFill="1" applyBorder="1" applyAlignment="1">
      <alignment horizontal="center" wrapText="1"/>
    </xf>
    <xf numFmtId="0" fontId="70" fillId="9" borderId="20" xfId="3" applyFont="1" applyFill="1" applyBorder="1" applyAlignment="1">
      <alignment horizontal="center" wrapText="1"/>
    </xf>
    <xf numFmtId="0" fontId="10" fillId="8" borderId="3" xfId="0" applyFont="1" applyFill="1" applyBorder="1" applyAlignment="1">
      <alignment vertical="center" wrapText="1"/>
    </xf>
    <xf numFmtId="0" fontId="11" fillId="3" borderId="8" xfId="0" applyFont="1" applyFill="1" applyBorder="1" applyAlignment="1">
      <alignment vertical="center" wrapText="1"/>
    </xf>
    <xf numFmtId="0" fontId="14" fillId="4" borderId="5" xfId="0" applyFont="1" applyFill="1" applyBorder="1" applyAlignment="1">
      <alignment horizontal="left" vertical="top" wrapText="1"/>
    </xf>
    <xf numFmtId="0" fontId="17" fillId="4" borderId="4" xfId="0" applyFont="1" applyFill="1" applyBorder="1" applyAlignment="1">
      <alignment horizontal="left" indent="1"/>
    </xf>
    <xf numFmtId="0" fontId="17" fillId="4" borderId="0" xfId="0" applyFont="1" applyFill="1" applyAlignment="1">
      <alignment horizontal="left" indent="1"/>
    </xf>
    <xf numFmtId="0" fontId="17" fillId="4" borderId="5" xfId="0" applyFont="1" applyFill="1" applyBorder="1" applyAlignment="1">
      <alignment horizontal="left" indent="1"/>
    </xf>
    <xf numFmtId="0" fontId="2" fillId="0" borderId="13" xfId="2" applyBorder="1" applyAlignment="1"/>
    <xf numFmtId="0" fontId="14" fillId="4" borderId="4" xfId="0" applyFont="1" applyFill="1" applyBorder="1" applyAlignment="1">
      <alignment horizontal="left" vertical="top" indent="1"/>
    </xf>
    <xf numFmtId="0" fontId="14" fillId="4" borderId="0" xfId="0" applyFont="1" applyFill="1" applyAlignment="1">
      <alignment horizontal="left" vertical="top" indent="1"/>
    </xf>
    <xf numFmtId="0" fontId="14" fillId="4" borderId="5" xfId="0" applyFont="1" applyFill="1" applyBorder="1" applyAlignment="1">
      <alignment horizontal="left" vertical="top" indent="1"/>
    </xf>
    <xf numFmtId="0" fontId="39" fillId="4" borderId="4" xfId="2" applyFont="1" applyFill="1" applyBorder="1" applyAlignment="1">
      <alignment horizontal="left" vertical="center" indent="5"/>
    </xf>
    <xf numFmtId="0" fontId="39" fillId="4" borderId="0" xfId="2" applyFont="1" applyFill="1" applyBorder="1" applyAlignment="1">
      <alignment horizontal="left" vertical="center" indent="5"/>
    </xf>
    <xf numFmtId="0" fontId="39" fillId="4" borderId="5" xfId="2" applyFont="1" applyFill="1" applyBorder="1" applyAlignment="1">
      <alignment horizontal="left" vertical="center" indent="5"/>
    </xf>
    <xf numFmtId="0" fontId="41" fillId="9" borderId="10" xfId="3" applyFont="1" applyFill="1" applyBorder="1" applyAlignment="1">
      <alignment horizontal="center" wrapText="1"/>
    </xf>
    <xf numFmtId="0" fontId="41" fillId="9" borderId="12" xfId="3" applyFont="1" applyFill="1" applyBorder="1" applyAlignment="1">
      <alignment horizontal="center" wrapText="1"/>
    </xf>
    <xf numFmtId="0" fontId="41" fillId="9" borderId="13" xfId="3" applyFont="1" applyFill="1" applyBorder="1" applyAlignment="1">
      <alignment horizontal="center" wrapText="1"/>
    </xf>
    <xf numFmtId="0" fontId="41" fillId="9" borderId="14" xfId="3" applyFont="1" applyFill="1" applyBorder="1" applyAlignment="1">
      <alignment horizontal="center" wrapText="1"/>
    </xf>
    <xf numFmtId="0" fontId="41" fillId="9" borderId="15" xfId="3" applyFont="1" applyFill="1" applyBorder="1" applyAlignment="1">
      <alignment horizontal="center" wrapText="1"/>
    </xf>
    <xf numFmtId="0" fontId="42" fillId="4" borderId="0" xfId="0" applyFont="1" applyFill="1" applyAlignment="1">
      <alignment horizontal="left" vertical="center" wrapText="1" indent="3"/>
    </xf>
    <xf numFmtId="0" fontId="42" fillId="4" borderId="5" xfId="0" applyFont="1" applyFill="1" applyBorder="1" applyAlignment="1">
      <alignment horizontal="left" vertical="center" wrapText="1" indent="3"/>
    </xf>
    <xf numFmtId="0" fontId="49" fillId="4" borderId="4" xfId="0" applyFont="1" applyFill="1" applyBorder="1" applyAlignment="1">
      <alignment horizontal="left" wrapText="1"/>
    </xf>
    <xf numFmtId="0" fontId="49" fillId="4" borderId="0" xfId="0" applyFont="1" applyFill="1" applyAlignment="1">
      <alignment horizontal="left" wrapText="1"/>
    </xf>
    <xf numFmtId="0" fontId="49" fillId="4" borderId="5" xfId="0" applyFont="1" applyFill="1" applyBorder="1" applyAlignment="1">
      <alignment horizontal="left" wrapText="1"/>
    </xf>
    <xf numFmtId="0" fontId="48" fillId="4" borderId="4" xfId="0" applyFont="1" applyFill="1" applyBorder="1" applyAlignment="1">
      <alignment horizontal="left" wrapText="1" indent="6"/>
    </xf>
    <xf numFmtId="0" fontId="48" fillId="4" borderId="0" xfId="0" applyFont="1" applyFill="1" applyAlignment="1">
      <alignment horizontal="left" wrapText="1" indent="6"/>
    </xf>
    <xf numFmtId="0" fontId="17" fillId="4" borderId="13" xfId="0" applyFont="1" applyFill="1" applyBorder="1" applyAlignment="1">
      <alignment horizontal="right" wrapText="1" indent="2"/>
    </xf>
    <xf numFmtId="0" fontId="17" fillId="4" borderId="15" xfId="0" applyFont="1" applyFill="1" applyBorder="1" applyAlignment="1">
      <alignment horizontal="right" wrapText="1" indent="2"/>
    </xf>
    <xf numFmtId="0" fontId="17" fillId="4" borderId="4" xfId="0" applyFont="1" applyFill="1" applyBorder="1" applyAlignment="1">
      <alignment horizontal="left"/>
    </xf>
    <xf numFmtId="0" fontId="17" fillId="4" borderId="0" xfId="0" applyFont="1" applyFill="1" applyAlignment="1">
      <alignment horizontal="left"/>
    </xf>
    <xf numFmtId="0" fontId="17" fillId="4" borderId="5" xfId="0" applyFont="1" applyFill="1" applyBorder="1" applyAlignment="1">
      <alignment horizontal="left"/>
    </xf>
    <xf numFmtId="0" fontId="37" fillId="4" borderId="4" xfId="0" applyFont="1" applyFill="1" applyBorder="1" applyAlignment="1">
      <alignment horizontal="left" wrapText="1"/>
    </xf>
    <xf numFmtId="0" fontId="37" fillId="4" borderId="0" xfId="0" applyFont="1" applyFill="1" applyAlignment="1">
      <alignment horizontal="left" wrapText="1"/>
    </xf>
    <xf numFmtId="0" fontId="37" fillId="4" borderId="5" xfId="0" applyFont="1" applyFill="1" applyBorder="1" applyAlignment="1">
      <alignment horizontal="left" wrapText="1"/>
    </xf>
    <xf numFmtId="0" fontId="48" fillId="4" borderId="4" xfId="0" applyFont="1" applyFill="1" applyBorder="1" applyAlignment="1">
      <alignment horizontal="left" wrapText="1" indent="2"/>
    </xf>
    <xf numFmtId="0" fontId="48" fillId="4" borderId="0" xfId="0" applyFont="1" applyFill="1" applyAlignment="1">
      <alignment horizontal="left" wrapText="1" indent="2"/>
    </xf>
    <xf numFmtId="0" fontId="49" fillId="4" borderId="0" xfId="0" applyFont="1" applyFill="1" applyAlignment="1">
      <alignment horizontal="center" vertical="top" wrapText="1"/>
    </xf>
    <xf numFmtId="0" fontId="17" fillId="4" borderId="4" xfId="0" applyFont="1" applyFill="1" applyBorder="1" applyAlignment="1">
      <alignment horizontal="left" wrapText="1"/>
    </xf>
    <xf numFmtId="0" fontId="17" fillId="4" borderId="0" xfId="0" applyFont="1" applyFill="1" applyAlignment="1">
      <alignment horizontal="left" wrapText="1"/>
    </xf>
    <xf numFmtId="0" fontId="49" fillId="4" borderId="7" xfId="0" applyFont="1" applyFill="1" applyBorder="1" applyAlignment="1">
      <alignment horizontal="center" vertical="top" wrapText="1"/>
    </xf>
    <xf numFmtId="0" fontId="17" fillId="4" borderId="0" xfId="0" applyFont="1" applyFill="1" applyAlignment="1">
      <alignment horizontal="center" wrapText="1"/>
    </xf>
    <xf numFmtId="0" fontId="17" fillId="4" borderId="2" xfId="0" applyFont="1" applyFill="1" applyBorder="1" applyAlignment="1">
      <alignment horizontal="left"/>
    </xf>
    <xf numFmtId="0" fontId="17" fillId="4" borderId="13" xfId="0" applyFont="1" applyFill="1" applyBorder="1" applyAlignment="1">
      <alignment horizontal="right" vertical="center" wrapText="1" indent="2"/>
    </xf>
    <xf numFmtId="0" fontId="17" fillId="4" borderId="15" xfId="0" applyFont="1" applyFill="1" applyBorder="1" applyAlignment="1">
      <alignment horizontal="right" vertical="center" wrapText="1" indent="2"/>
    </xf>
    <xf numFmtId="0" fontId="2" fillId="0" borderId="13" xfId="2" applyBorder="1" applyAlignment="1">
      <alignment horizontal="center"/>
    </xf>
    <xf numFmtId="0" fontId="0" fillId="0" borderId="15" xfId="0" applyBorder="1" applyAlignment="1">
      <alignment horizontal="center"/>
    </xf>
    <xf numFmtId="0" fontId="17" fillId="4" borderId="13" xfId="0" applyFont="1" applyFill="1" applyBorder="1" applyAlignment="1">
      <alignment horizontal="right" vertical="center" wrapText="1"/>
    </xf>
    <xf numFmtId="0" fontId="17" fillId="4" borderId="15" xfId="0" applyFont="1" applyFill="1" applyBorder="1" applyAlignment="1">
      <alignment horizontal="right" vertical="center" wrapText="1"/>
    </xf>
    <xf numFmtId="0" fontId="105" fillId="4" borderId="9" xfId="2" applyFont="1" applyFill="1" applyBorder="1" applyAlignment="1">
      <alignment vertical="top" wrapText="1"/>
    </xf>
    <xf numFmtId="0" fontId="105" fillId="0" borderId="9" xfId="2" applyFont="1" applyBorder="1" applyAlignment="1">
      <alignment vertical="top" wrapText="1"/>
    </xf>
    <xf numFmtId="0" fontId="17" fillId="4" borderId="2" xfId="0" applyFont="1" applyFill="1" applyBorder="1" applyAlignment="1">
      <alignment horizontal="left" vertical="top" wrapText="1"/>
    </xf>
    <xf numFmtId="0" fontId="17" fillId="4" borderId="0" xfId="0" applyFont="1" applyFill="1" applyAlignment="1">
      <alignment horizontal="left" vertical="top" wrapText="1"/>
    </xf>
    <xf numFmtId="0" fontId="14" fillId="4" borderId="4" xfId="0" applyFont="1" applyFill="1" applyBorder="1" applyAlignment="1">
      <alignment horizontal="left" vertical="top" wrapText="1" indent="2"/>
    </xf>
    <xf numFmtId="0" fontId="17" fillId="4" borderId="13" xfId="0" applyFont="1" applyFill="1" applyBorder="1" applyAlignment="1">
      <alignment horizontal="left" wrapText="1"/>
    </xf>
    <xf numFmtId="0" fontId="0" fillId="0" borderId="14" xfId="0" applyBorder="1" applyAlignment="1">
      <alignment horizontal="left" wrapText="1"/>
    </xf>
    <xf numFmtId="0" fontId="0" fillId="0" borderId="15" xfId="0" applyBorder="1" applyAlignment="1">
      <alignment horizontal="left" wrapText="1"/>
    </xf>
    <xf numFmtId="0" fontId="17" fillId="4" borderId="9" xfId="0" applyFont="1" applyFill="1" applyBorder="1" applyAlignment="1">
      <alignment horizontal="left" wrapText="1"/>
    </xf>
    <xf numFmtId="0" fontId="0" fillId="0" borderId="9" xfId="0" applyBorder="1" applyAlignment="1">
      <alignment horizontal="left" wrapText="1"/>
    </xf>
    <xf numFmtId="0" fontId="17" fillId="4" borderId="4" xfId="0" applyFont="1" applyFill="1" applyBorder="1" applyAlignment="1">
      <alignment horizontal="left" vertical="top" wrapText="1"/>
    </xf>
    <xf numFmtId="0" fontId="17" fillId="4" borderId="9" xfId="0" applyFont="1" applyFill="1" applyBorder="1" applyAlignment="1">
      <alignment horizontal="left" vertical="center" wrapText="1"/>
    </xf>
    <xf numFmtId="0" fontId="17" fillId="4" borderId="9" xfId="0" applyFont="1" applyFill="1" applyBorder="1" applyAlignment="1">
      <alignment horizontal="left" vertical="center"/>
    </xf>
    <xf numFmtId="0" fontId="14" fillId="4" borderId="11" xfId="0" applyFont="1" applyFill="1" applyBorder="1" applyAlignment="1">
      <alignment horizontal="left" vertical="top" wrapText="1"/>
    </xf>
    <xf numFmtId="0" fontId="69" fillId="4" borderId="4" xfId="0" applyFont="1" applyFill="1" applyBorder="1" applyAlignment="1">
      <alignment horizontal="left"/>
    </xf>
    <xf numFmtId="0" fontId="69" fillId="4" borderId="11" xfId="0" applyFont="1" applyFill="1" applyBorder="1" applyAlignment="1">
      <alignment horizontal="left"/>
    </xf>
    <xf numFmtId="0" fontId="39" fillId="4" borderId="13" xfId="2" applyFont="1" applyFill="1" applyBorder="1" applyAlignment="1"/>
    <xf numFmtId="0" fontId="39" fillId="4" borderId="9" xfId="2" applyFont="1" applyFill="1" applyBorder="1" applyAlignment="1"/>
    <xf numFmtId="0" fontId="17" fillId="4" borderId="9" xfId="0" applyFont="1" applyFill="1" applyBorder="1" applyAlignment="1">
      <alignment horizontal="center" wrapText="1"/>
    </xf>
    <xf numFmtId="0" fontId="11" fillId="3" borderId="12" xfId="0" applyFont="1" applyFill="1" applyBorder="1" applyAlignment="1">
      <alignment vertical="center" wrapText="1"/>
    </xf>
    <xf numFmtId="0" fontId="17" fillId="4" borderId="0" xfId="0" applyFont="1" applyFill="1" applyAlignment="1">
      <alignment horizontal="center"/>
    </xf>
    <xf numFmtId="0" fontId="17" fillId="4" borderId="10" xfId="0" applyFont="1" applyFill="1" applyBorder="1" applyAlignment="1">
      <alignment horizontal="left" vertical="center" wrapText="1"/>
    </xf>
    <xf numFmtId="0" fontId="17" fillId="4" borderId="10" xfId="0" applyFont="1" applyFill="1" applyBorder="1" applyAlignment="1">
      <alignment horizontal="left" vertical="center"/>
    </xf>
    <xf numFmtId="0" fontId="17" fillId="4" borderId="2" xfId="0" applyFont="1" applyFill="1" applyBorder="1" applyAlignment="1">
      <alignment horizontal="right"/>
    </xf>
    <xf numFmtId="0" fontId="32" fillId="4" borderId="4" xfId="0" applyFont="1" applyFill="1" applyBorder="1" applyAlignment="1">
      <alignment horizontal="left" vertical="top" wrapText="1" indent="2"/>
    </xf>
    <xf numFmtId="0" fontId="5" fillId="4" borderId="10" xfId="0" applyFont="1" applyFill="1" applyBorder="1" applyAlignment="1">
      <alignment horizontal="left" vertical="top"/>
    </xf>
    <xf numFmtId="0" fontId="17" fillId="4" borderId="11" xfId="0" applyFont="1" applyFill="1" applyBorder="1" applyAlignment="1">
      <alignment horizontal="left" vertical="center" wrapText="1"/>
    </xf>
    <xf numFmtId="0" fontId="17" fillId="4" borderId="10" xfId="0" applyFont="1" applyFill="1" applyBorder="1" applyAlignment="1">
      <alignment vertical="center" wrapText="1"/>
    </xf>
    <xf numFmtId="0" fontId="17" fillId="4" borderId="12" xfId="0" applyFont="1" applyFill="1" applyBorder="1" applyAlignment="1">
      <alignment horizontal="left" vertical="center" wrapText="1"/>
    </xf>
    <xf numFmtId="0" fontId="14" fillId="4" borderId="0" xfId="0" applyFont="1" applyFill="1" applyAlignment="1">
      <alignment horizontal="left" vertical="top" wrapText="1" indent="2"/>
    </xf>
    <xf numFmtId="0" fontId="17" fillId="4" borderId="11" xfId="0" applyFont="1" applyFill="1" applyBorder="1" applyAlignment="1">
      <alignment horizontal="left" vertical="center"/>
    </xf>
    <xf numFmtId="0" fontId="17" fillId="4" borderId="12" xfId="0" applyFont="1" applyFill="1" applyBorder="1" applyAlignment="1">
      <alignment horizontal="left" vertical="center"/>
    </xf>
    <xf numFmtId="0" fontId="69" fillId="4" borderId="0" xfId="0" applyFont="1" applyFill="1" applyAlignment="1">
      <alignment horizontal="left"/>
    </xf>
    <xf numFmtId="0" fontId="69" fillId="4" borderId="5" xfId="0" applyFont="1" applyFill="1" applyBorder="1" applyAlignment="1">
      <alignment horizontal="left"/>
    </xf>
    <xf numFmtId="0" fontId="64" fillId="4" borderId="1" xfId="0" applyFont="1" applyFill="1" applyBorder="1" applyAlignment="1">
      <alignment horizontal="center" vertical="top" wrapText="1"/>
    </xf>
    <xf numFmtId="0" fontId="64" fillId="4" borderId="2" xfId="0" applyFont="1" applyFill="1" applyBorder="1" applyAlignment="1">
      <alignment horizontal="center" vertical="top" wrapText="1"/>
    </xf>
    <xf numFmtId="0" fontId="64" fillId="4" borderId="3" xfId="0" applyFont="1" applyFill="1" applyBorder="1" applyAlignment="1">
      <alignment horizontal="center" vertical="top" wrapText="1"/>
    </xf>
  </cellXfs>
  <cellStyles count="9">
    <cellStyle name="Body: normal cell" xfId="8" xr:uid="{C54EE1B5-E49D-4368-B8A7-6B6B0F716772}"/>
    <cellStyle name="Comma" xfId="6" builtinId="3"/>
    <cellStyle name="Currency" xfId="5" builtinId="4"/>
    <cellStyle name="Good" xfId="1" builtinId="26"/>
    <cellStyle name="Hyperlink" xfId="2" builtinId="8"/>
    <cellStyle name="Neutral" xfId="7" builtinId="28"/>
    <cellStyle name="Normal" xfId="0" builtinId="0"/>
    <cellStyle name="Normal 2" xfId="3" xr:uid="{749E1C86-B08B-4EA1-8524-80988BBA3228}"/>
    <cellStyle name="Percent" xfId="4" builtinId="5"/>
  </cellStyles>
  <dxfs count="3">
    <dxf>
      <fill>
        <patternFill>
          <bgColor rgb="FFDDEBF7"/>
        </patternFill>
      </fill>
    </dxf>
    <dxf>
      <fill>
        <patternFill>
          <bgColor rgb="FFDDEBF7"/>
        </patternFill>
      </fill>
    </dxf>
    <dxf>
      <fill>
        <patternFill>
          <bgColor rgb="FFDDEBF7"/>
        </patternFill>
      </fill>
    </dxf>
  </dxfs>
  <tableStyles count="0" defaultTableStyle="TableStyleMedium2" defaultPivotStyle="PivotStyleLight16"/>
  <colors>
    <mruColors>
      <color rgb="FFCCCCFF"/>
      <color rgb="FFDDEBF7"/>
      <color rgb="FFFFCDCD"/>
      <color rgb="FFFFB9FF"/>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618947919991636E-4"/>
          <c:y val="3.5196736475108507E-2"/>
          <c:w val="0.99506225143342719"/>
          <c:h val="0.69725485897813844"/>
        </c:manualLayout>
      </c:layout>
      <c:barChart>
        <c:barDir val="col"/>
        <c:grouping val="stacked"/>
        <c:varyColors val="0"/>
        <c:ser>
          <c:idx val="0"/>
          <c:order val="0"/>
          <c:tx>
            <c:strRef>
              <c:f>'Results Dashboard'!$W$6</c:f>
              <c:strCache>
                <c:ptCount val="1"/>
                <c:pt idx="0">
                  <c:v>CapEx Costs</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8274C3E9-6780-1F4C-B0ED-14D6577A505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033537521558701"/>
                      <c:h val="7.151875611748057E-2"/>
                    </c:manualLayout>
                  </c15:layout>
                  <c15:dlblFieldTable/>
                  <c15:showDataLabelsRange val="1"/>
                </c:ext>
                <c:ext xmlns:c16="http://schemas.microsoft.com/office/drawing/2014/chart" uri="{C3380CC4-5D6E-409C-BE32-E72D297353CC}">
                  <c16:uniqueId val="{0000000F-0A10-416A-B480-9C8F3F4A513F}"/>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EAE0590B-85D8-E946-9BFE-3B2FDF134AE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5183902912079307"/>
                      <c:h val="6.4449722882026925E-2"/>
                    </c:manualLayout>
                  </c15:layout>
                  <c15:dlblFieldTable/>
                  <c15:showDataLabelsRange val="1"/>
                </c:ext>
                <c:ext xmlns:c16="http://schemas.microsoft.com/office/drawing/2014/chart" uri="{C3380CC4-5D6E-409C-BE32-E72D297353CC}">
                  <c16:uniqueId val="{00000009-0A10-416A-B480-9C8F3F4A51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Dashboard'!$X$5:$Y$5</c:f>
              <c:strCache>
                <c:ptCount val="2"/>
                <c:pt idx="0">
                  <c:v>Waste Heat Recovery (Heat Pump)</c:v>
                </c:pt>
                <c:pt idx="1">
                  <c:v>Evaporative Condenser</c:v>
                </c:pt>
              </c:strCache>
            </c:strRef>
          </c:cat>
          <c:val>
            <c:numRef>
              <c:f>'Results Dashboard'!$X$6:$Y$6</c:f>
              <c:numCache>
                <c:formatCode>"$"#,##0.00</c:formatCode>
                <c:ptCount val="2"/>
                <c:pt idx="0">
                  <c:v>103.56927064050353</c:v>
                </c:pt>
                <c:pt idx="1">
                  <c:v>177.86301369863014</c:v>
                </c:pt>
              </c:numCache>
            </c:numRef>
          </c:val>
          <c:extLst>
            <c:ext xmlns:c15="http://schemas.microsoft.com/office/drawing/2012/chart" uri="{02D57815-91ED-43cb-92C2-25804820EDAC}">
              <c15:datalabelsRange>
                <c15:f>'Results Dashboard'!$Z$6:$AA$6</c15:f>
                <c15:dlblRangeCache>
                  <c:ptCount val="2"/>
                  <c:pt idx="0">
                    <c:v>CapEx Costs: $104</c:v>
                  </c:pt>
                  <c:pt idx="1">
                    <c:v>CapEx Costs: $178</c:v>
                  </c:pt>
                </c15:dlblRangeCache>
              </c15:datalabelsRange>
            </c:ext>
            <c:ext xmlns:c16="http://schemas.microsoft.com/office/drawing/2014/chart" uri="{C3380CC4-5D6E-409C-BE32-E72D297353CC}">
              <c16:uniqueId val="{00000000-0A10-416A-B480-9C8F3F4A513F}"/>
            </c:ext>
          </c:extLst>
        </c:ser>
        <c:ser>
          <c:idx val="1"/>
          <c:order val="1"/>
          <c:tx>
            <c:strRef>
              <c:f>'Results Dashboard'!$W$7</c:f>
              <c:strCache>
                <c:ptCount val="1"/>
                <c:pt idx="0">
                  <c:v>Raw Materials Costs</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ABC00924-92CE-D444-9404-470DB259B835}"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3274661006864723"/>
                      <c:h val="0.1369663451168405"/>
                    </c:manualLayout>
                  </c15:layout>
                  <c15:dlblFieldTable/>
                  <c15:showDataLabelsRange val="1"/>
                </c:ext>
                <c:ext xmlns:c16="http://schemas.microsoft.com/office/drawing/2014/chart" uri="{C3380CC4-5D6E-409C-BE32-E72D297353CC}">
                  <c16:uniqueId val="{0000000A-0A10-416A-B480-9C8F3F4A513F}"/>
                </c:ext>
              </c:extLst>
            </c:dLbl>
            <c:dLbl>
              <c:idx val="1"/>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7D17324C-280E-E449-96C6-3CF9A8543C76}"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1883020522346703"/>
                      <c:h val="8.5856051940059255E-2"/>
                    </c:manualLayout>
                  </c15:layout>
                  <c15:dlblFieldTable/>
                  <c15:showDataLabelsRange val="1"/>
                </c:ext>
                <c:ext xmlns:c16="http://schemas.microsoft.com/office/drawing/2014/chart" uri="{C3380CC4-5D6E-409C-BE32-E72D297353CC}">
                  <c16:uniqueId val="{00000006-0A10-416A-B480-9C8F3F4A513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Dashboard'!$X$5:$Y$5</c:f>
              <c:strCache>
                <c:ptCount val="2"/>
                <c:pt idx="0">
                  <c:v>Waste Heat Recovery (Heat Pump)</c:v>
                </c:pt>
                <c:pt idx="1">
                  <c:v>Evaporative Condenser</c:v>
                </c:pt>
              </c:strCache>
            </c:strRef>
          </c:cat>
          <c:val>
            <c:numRef>
              <c:f>'Results Dashboard'!$X$7:$Y$7</c:f>
              <c:numCache>
                <c:formatCode>"$"#,##0.00</c:formatCode>
                <c:ptCount val="2"/>
                <c:pt idx="0">
                  <c:v>14.04</c:v>
                </c:pt>
                <c:pt idx="1">
                  <c:v>97.446842783505161</c:v>
                </c:pt>
              </c:numCache>
            </c:numRef>
          </c:val>
          <c:extLst>
            <c:ext xmlns:c15="http://schemas.microsoft.com/office/drawing/2012/chart" uri="{02D57815-91ED-43cb-92C2-25804820EDAC}">
              <c15:datalabelsRange>
                <c15:f>'Results Dashboard'!$Z$7:$AA$7</c15:f>
                <c15:dlblRangeCache>
                  <c:ptCount val="2"/>
                  <c:pt idx="0">
                    <c:v>Raw Materials Costs: $14</c:v>
                  </c:pt>
                  <c:pt idx="1">
                    <c:v>Raw Materials Costs: $97</c:v>
                  </c:pt>
                </c15:dlblRangeCache>
              </c15:datalabelsRange>
            </c:ext>
            <c:ext xmlns:c16="http://schemas.microsoft.com/office/drawing/2014/chart" uri="{C3380CC4-5D6E-409C-BE32-E72D297353CC}">
              <c16:uniqueId val="{00000002-0A10-416A-B480-9C8F3F4A513F}"/>
            </c:ext>
          </c:extLst>
        </c:ser>
        <c:ser>
          <c:idx val="2"/>
          <c:order val="2"/>
          <c:tx>
            <c:strRef>
              <c:f>'Results Dashboard'!$W$8</c:f>
              <c:strCache>
                <c:ptCount val="1"/>
                <c:pt idx="0">
                  <c:v>Energy Costs</c:v>
                </c:pt>
              </c:strCache>
            </c:strRef>
          </c:tx>
          <c:spPr>
            <a:solidFill>
              <a:schemeClr val="accent3"/>
            </a:solidFill>
            <a:ln>
              <a:noFill/>
            </a:ln>
            <a:effectLst/>
          </c:spPr>
          <c:invertIfNegative val="0"/>
          <c:dLbls>
            <c:dLbl>
              <c:idx val="0"/>
              <c:tx>
                <c:rich>
                  <a:bodyPr/>
                  <a:lstStyle/>
                  <a:p>
                    <a:fld id="{E4B5E5B7-3FA1-1446-AE18-BBE5E17E4A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35264520025204033"/>
                      <c:h val="6.4174136842793314E-2"/>
                    </c:manualLayout>
                  </c15:layout>
                  <c15:dlblFieldTable/>
                  <c15:showDataLabelsRange val="1"/>
                </c:ext>
                <c:ext xmlns:c16="http://schemas.microsoft.com/office/drawing/2014/chart" uri="{C3380CC4-5D6E-409C-BE32-E72D297353CC}">
                  <c16:uniqueId val="{0000000E-0A10-416A-B480-9C8F3F4A513F}"/>
                </c:ext>
              </c:extLst>
            </c:dLbl>
            <c:dLbl>
              <c:idx val="1"/>
              <c:tx>
                <c:rich>
                  <a:bodyPr/>
                  <a:lstStyle/>
                  <a:p>
                    <a:fld id="{D8AEFC6C-61E3-9646-8251-D436C580F6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35630087906122171"/>
                      <c:h val="6.4174136842793314E-2"/>
                    </c:manualLayout>
                  </c15:layout>
                  <c15:dlblFieldTable/>
                  <c15:showDataLabelsRange val="1"/>
                </c:ext>
                <c:ext xmlns:c16="http://schemas.microsoft.com/office/drawing/2014/chart" uri="{C3380CC4-5D6E-409C-BE32-E72D297353CC}">
                  <c16:uniqueId val="{00000008-0A10-416A-B480-9C8F3F4A51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Dashboard'!$X$5:$Y$5</c:f>
              <c:strCache>
                <c:ptCount val="2"/>
                <c:pt idx="0">
                  <c:v>Waste Heat Recovery (Heat Pump)</c:v>
                </c:pt>
                <c:pt idx="1">
                  <c:v>Evaporative Condenser</c:v>
                </c:pt>
              </c:strCache>
            </c:strRef>
          </c:cat>
          <c:val>
            <c:numRef>
              <c:f>'Results Dashboard'!$X$8:$Y$8</c:f>
              <c:numCache>
                <c:formatCode>"$"#,##0.00</c:formatCode>
                <c:ptCount val="2"/>
                <c:pt idx="0">
                  <c:v>0.17844963944465791</c:v>
                </c:pt>
                <c:pt idx="1">
                  <c:v>7.8887074310863925</c:v>
                </c:pt>
              </c:numCache>
            </c:numRef>
          </c:val>
          <c:extLst>
            <c:ext xmlns:c15="http://schemas.microsoft.com/office/drawing/2012/chart" uri="{02D57815-91ED-43cb-92C2-25804820EDAC}">
              <c15:datalabelsRange>
                <c15:f>'Results Dashboard'!$Z$8:$AA$8</c15:f>
                <c15:dlblRangeCache>
                  <c:ptCount val="2"/>
                  <c:pt idx="1">
                    <c:v>Energy Costs: $8</c:v>
                  </c:pt>
                </c15:dlblRangeCache>
              </c15:datalabelsRange>
            </c:ext>
            <c:ext xmlns:c16="http://schemas.microsoft.com/office/drawing/2014/chart" uri="{C3380CC4-5D6E-409C-BE32-E72D297353CC}">
              <c16:uniqueId val="{00000003-0A10-416A-B480-9C8F3F4A513F}"/>
            </c:ext>
          </c:extLst>
        </c:ser>
        <c:ser>
          <c:idx val="3"/>
          <c:order val="3"/>
          <c:tx>
            <c:strRef>
              <c:f>'Results Dashboard'!$W$9</c:f>
              <c:strCache>
                <c:ptCount val="1"/>
                <c:pt idx="0">
                  <c:v>Labor Costs</c:v>
                </c:pt>
              </c:strCache>
            </c:strRef>
          </c:tx>
          <c:spPr>
            <a:solidFill>
              <a:schemeClr val="accent4"/>
            </a:solidFill>
            <a:ln>
              <a:noFill/>
            </a:ln>
            <a:effectLst/>
          </c:spPr>
          <c:invertIfNegative val="0"/>
          <c:dLbls>
            <c:dLbl>
              <c:idx val="0"/>
              <c:tx>
                <c:rich>
                  <a:bodyPr/>
                  <a:lstStyle/>
                  <a:p>
                    <a:fld id="{9FC16413-3815-9C4B-AF0F-0695D124C10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35632385415146367"/>
                      <c:h val="9.2564854631121268E-2"/>
                    </c:manualLayout>
                  </c15:layout>
                  <c15:dlblFieldTable/>
                  <c15:showDataLabelsRange val="1"/>
                </c:ext>
                <c:ext xmlns:c16="http://schemas.microsoft.com/office/drawing/2014/chart" uri="{C3380CC4-5D6E-409C-BE32-E72D297353CC}">
                  <c16:uniqueId val="{0000000C-0A10-416A-B480-9C8F3F4A513F}"/>
                </c:ext>
              </c:extLst>
            </c:dLbl>
            <c:dLbl>
              <c:idx val="1"/>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26750AD0-BFA2-7249-9409-12429C0D2762}"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42576521601705097"/>
                      <c:h val="7.8943319485975355E-2"/>
                    </c:manualLayout>
                  </c15:layout>
                  <c15:dlblFieldTable/>
                  <c15:showDataLabelsRange val="1"/>
                </c:ext>
                <c:ext xmlns:c16="http://schemas.microsoft.com/office/drawing/2014/chart" uri="{C3380CC4-5D6E-409C-BE32-E72D297353CC}">
                  <c16:uniqueId val="{0000000B-0A10-416A-B480-9C8F3F4A513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Dashboard'!$X$5:$Y$5</c:f>
              <c:strCache>
                <c:ptCount val="2"/>
                <c:pt idx="0">
                  <c:v>Waste Heat Recovery (Heat Pump)</c:v>
                </c:pt>
                <c:pt idx="1">
                  <c:v>Evaporative Condenser</c:v>
                </c:pt>
              </c:strCache>
            </c:strRef>
          </c:cat>
          <c:val>
            <c:numRef>
              <c:f>'Results Dashboard'!$X$9:$Y$9</c:f>
              <c:numCache>
                <c:formatCode>"$"#,##0.00</c:formatCode>
                <c:ptCount val="2"/>
                <c:pt idx="0">
                  <c:v>3.3983140147523709</c:v>
                </c:pt>
                <c:pt idx="1">
                  <c:v>11.724183350895679</c:v>
                </c:pt>
              </c:numCache>
            </c:numRef>
          </c:val>
          <c:extLst>
            <c:ext xmlns:c15="http://schemas.microsoft.com/office/drawing/2012/chart" uri="{02D57815-91ED-43cb-92C2-25804820EDAC}">
              <c15:datalabelsRange>
                <c15:f>'Results Dashboard'!$Z$9:$AA$9</c15:f>
                <c15:dlblRangeCache>
                  <c:ptCount val="2"/>
                  <c:pt idx="0">
                    <c:v>Labor Costs: $3</c:v>
                  </c:pt>
                  <c:pt idx="1">
                    <c:v>Labor Costs: $12</c:v>
                  </c:pt>
                </c15:dlblRangeCache>
              </c15:datalabelsRange>
            </c:ext>
            <c:ext xmlns:c16="http://schemas.microsoft.com/office/drawing/2014/chart" uri="{C3380CC4-5D6E-409C-BE32-E72D297353CC}">
              <c16:uniqueId val="{00000004-0A10-416A-B480-9C8F3F4A513F}"/>
            </c:ext>
          </c:extLst>
        </c:ser>
        <c:ser>
          <c:idx val="4"/>
          <c:order val="4"/>
          <c:tx>
            <c:strRef>
              <c:f>'Results Dashboard'!$W$10</c:f>
              <c:strCache>
                <c:ptCount val="1"/>
                <c:pt idx="0">
                  <c:v>Other Costs</c:v>
                </c:pt>
              </c:strCache>
            </c:strRef>
          </c:tx>
          <c:spPr>
            <a:solidFill>
              <a:schemeClr val="accent5"/>
            </a:solidFill>
            <a:ln>
              <a:noFill/>
            </a:ln>
            <a:effectLst/>
          </c:spPr>
          <c:invertIfNegative val="0"/>
          <c:cat>
            <c:strRef>
              <c:f>'Results Dashboard'!$X$5:$Y$5</c:f>
              <c:strCache>
                <c:ptCount val="2"/>
                <c:pt idx="0">
                  <c:v>Waste Heat Recovery (Heat Pump)</c:v>
                </c:pt>
                <c:pt idx="1">
                  <c:v>Evaporative Condenser</c:v>
                </c:pt>
              </c:strCache>
            </c:strRef>
          </c:cat>
          <c:val>
            <c:numRef>
              <c:f>'Results Dashboard'!$X$10:$Y$10</c:f>
              <c:numCache>
                <c:formatCode>"$"#,##0.00</c:formatCode>
                <c:ptCount val="2"/>
                <c:pt idx="0">
                  <c:v>13.698630136986301</c:v>
                </c:pt>
                <c:pt idx="1">
                  <c:v>32.876712328767127</c:v>
                </c:pt>
              </c:numCache>
            </c:numRef>
          </c:val>
          <c:extLst>
            <c:ext xmlns:c16="http://schemas.microsoft.com/office/drawing/2014/chart" uri="{C3380CC4-5D6E-409C-BE32-E72D297353CC}">
              <c16:uniqueId val="{00000001-D685-4148-AAF7-132E82FC269F}"/>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scaling>
        <c:delete val="1"/>
        <c:axPos val="l"/>
        <c:numFmt formatCode="&quot;$&quot;#,##0.00" sourceLinked="1"/>
        <c:majorTickMark val="none"/>
        <c:minorTickMark val="none"/>
        <c:tickLblPos val="nextTo"/>
        <c:crossAx val="652213263"/>
        <c:crosses val="autoZero"/>
        <c:crossBetween val="between"/>
      </c:valAx>
      <c:spPr>
        <a:noFill/>
        <a:ln>
          <a:noFill/>
        </a:ln>
        <a:effectLst/>
      </c:spPr>
    </c:plotArea>
    <c:legend>
      <c:legendPos val="r"/>
      <c:layout>
        <c:manualLayout>
          <c:xMode val="edge"/>
          <c:yMode val="edge"/>
          <c:x val="8.4141165390035095E-3"/>
          <c:y val="0.83564168016134577"/>
          <c:w val="0.36942332674255701"/>
          <c:h val="0.1643583198386541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1.7618947919991636E-4"/>
          <c:y val="3.5196736475108507E-2"/>
          <c:w val="0.99506225143342719"/>
          <c:h val="0.69725485897813844"/>
        </c:manualLayout>
      </c:layout>
      <c:barChart>
        <c:barDir val="col"/>
        <c:grouping val="stacked"/>
        <c:varyColors val="0"/>
        <c:ser>
          <c:idx val="0"/>
          <c:order val="0"/>
          <c:tx>
            <c:strRef>
              <c:f>'Results Dashboard'!$W$26</c:f>
              <c:strCache>
                <c:ptCount val="1"/>
                <c:pt idx="0">
                  <c:v>Raw Materials Energy</c:v>
                </c:pt>
              </c:strCache>
            </c:strRef>
          </c:tx>
          <c:spPr>
            <a:solidFill>
              <a:schemeClr val="accent6">
                <a:tint val="58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DD46EA3E-FFD8-0147-9337-1E755C63D441}"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4225598137844097"/>
                      <c:h val="0.11834798242311939"/>
                    </c:manualLayout>
                  </c15:layout>
                  <c15:dlblFieldTable/>
                  <c15:showDataLabelsRange val="1"/>
                </c:ext>
                <c:ext xmlns:c16="http://schemas.microsoft.com/office/drawing/2014/chart" uri="{C3380CC4-5D6E-409C-BE32-E72D297353CC}">
                  <c16:uniqueId val="{00000000-F5C7-4505-851D-6091F27D9B7B}"/>
                </c:ext>
              </c:extLst>
            </c:dLbl>
            <c:dLbl>
              <c:idx val="1"/>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0C9191B9-48E5-6A44-B769-48033A326D36}"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322018152179919"/>
                      <c:h val="8.2311359493213984E-2"/>
                    </c:manualLayout>
                  </c15:layout>
                  <c15:dlblFieldTable/>
                  <c15:showDataLabelsRange val="1"/>
                </c:ext>
                <c:ext xmlns:c16="http://schemas.microsoft.com/office/drawing/2014/chart" uri="{C3380CC4-5D6E-409C-BE32-E72D297353CC}">
                  <c16:uniqueId val="{00000001-F5C7-4505-851D-6091F27D9B7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Dashboard'!$X$25:$Y$25</c:f>
              <c:strCache>
                <c:ptCount val="2"/>
                <c:pt idx="0">
                  <c:v>Waste Heat Recovery (Heat Pump)</c:v>
                </c:pt>
                <c:pt idx="1">
                  <c:v>Evaporative Condenser</c:v>
                </c:pt>
              </c:strCache>
            </c:strRef>
          </c:cat>
          <c:val>
            <c:numRef>
              <c:f>'Results Dashboard'!$X$26:$Y$26</c:f>
              <c:numCache>
                <c:formatCode>#,##0.0\ "MMBtu"</c:formatCode>
                <c:ptCount val="2"/>
                <c:pt idx="0">
                  <c:v>0.2530394212975059</c:v>
                </c:pt>
                <c:pt idx="1">
                  <c:v>0.45966349730188694</c:v>
                </c:pt>
              </c:numCache>
            </c:numRef>
          </c:val>
          <c:extLst>
            <c:ext xmlns:c15="http://schemas.microsoft.com/office/drawing/2012/chart" uri="{02D57815-91ED-43cb-92C2-25804820EDAC}">
              <c15:datalabelsRange>
                <c15:f>'Results Dashboard'!$Z$26:$AA$26</c15:f>
                <c15:dlblRangeCache>
                  <c:ptCount val="2"/>
                  <c:pt idx="0">
                    <c:v>Raw Materials Energy: 
0.3 MMBtu</c:v>
                  </c:pt>
                  <c:pt idx="1">
                    <c:v>Raw Materials Energy: 
0.5 MMBtu</c:v>
                  </c:pt>
                </c15:dlblRangeCache>
              </c15:datalabelsRange>
            </c:ext>
            <c:ext xmlns:c16="http://schemas.microsoft.com/office/drawing/2014/chart" uri="{C3380CC4-5D6E-409C-BE32-E72D297353CC}">
              <c16:uniqueId val="{00000002-F5C7-4505-851D-6091F27D9B7B}"/>
            </c:ext>
          </c:extLst>
        </c:ser>
        <c:ser>
          <c:idx val="3"/>
          <c:order val="1"/>
          <c:tx>
            <c:strRef>
              <c:f>'Results Dashboard'!$W$27</c:f>
              <c:strCache>
                <c:ptCount val="1"/>
                <c:pt idx="0">
                  <c:v>Manufacturing Energy</c:v>
                </c:pt>
              </c:strCache>
            </c:strRef>
          </c:tx>
          <c:spPr>
            <a:solidFill>
              <a:schemeClr val="accent6">
                <a:shade val="58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021D443B-D01C-D54F-90C5-C4407FCE404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1048614180987641"/>
                      <c:h val="7.7197874061892297E-2"/>
                    </c:manualLayout>
                  </c15:layout>
                  <c15:dlblFieldTable/>
                  <c15:showDataLabelsRange val="1"/>
                </c:ext>
                <c:ext xmlns:c16="http://schemas.microsoft.com/office/drawing/2014/chart" uri="{C3380CC4-5D6E-409C-BE32-E72D297353CC}">
                  <c16:uniqueId val="{00000009-F5C7-4505-851D-6091F27D9B7B}"/>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31DC3E83-CE21-504F-94CF-9A202F341B3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510974220620912"/>
                      <c:h val="8.4918704798694344E-2"/>
                    </c:manualLayout>
                  </c15:layout>
                  <c15:dlblFieldTable/>
                  <c15:showDataLabelsRange val="1"/>
                </c:ext>
                <c:ext xmlns:c16="http://schemas.microsoft.com/office/drawing/2014/chart" uri="{C3380CC4-5D6E-409C-BE32-E72D297353CC}">
                  <c16:uniqueId val="{0000000A-F5C7-4505-851D-6091F27D9B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Dashboard'!$X$25:$Y$25</c:f>
              <c:strCache>
                <c:ptCount val="2"/>
                <c:pt idx="0">
                  <c:v>Waste Heat Recovery (Heat Pump)</c:v>
                </c:pt>
                <c:pt idx="1">
                  <c:v>Evaporative Condenser</c:v>
                </c:pt>
              </c:strCache>
            </c:strRef>
          </c:cat>
          <c:val>
            <c:numRef>
              <c:f>'Results Dashboard'!$X$27:$Y$27</c:f>
              <c:numCache>
                <c:formatCode>#,##0.0\ "MMBtu"</c:formatCode>
                <c:ptCount val="2"/>
                <c:pt idx="0">
                  <c:v>2.7086726250449149E-2</c:v>
                </c:pt>
                <c:pt idx="1">
                  <c:v>1.0747498800969462</c:v>
                </c:pt>
              </c:numCache>
            </c:numRef>
          </c:val>
          <c:extLst>
            <c:ext xmlns:c15="http://schemas.microsoft.com/office/drawing/2012/chart" uri="{02D57815-91ED-43cb-92C2-25804820EDAC}">
              <c15:datalabelsRange>
                <c15:f>'Results Dashboard'!$Z$27:$AA$27</c15:f>
                <c15:dlblRangeCache>
                  <c:ptCount val="2"/>
                  <c:pt idx="0">
                    <c:v>Manufacturing Energy: 
0.0 MMBtu</c:v>
                  </c:pt>
                  <c:pt idx="1">
                    <c:v>Manufacturing Energy: 
1.1 MMBtu</c:v>
                  </c:pt>
                </c15:dlblRangeCache>
              </c15:datalabelsRange>
            </c:ext>
            <c:ext xmlns:c16="http://schemas.microsoft.com/office/drawing/2014/chart" uri="{C3380CC4-5D6E-409C-BE32-E72D297353CC}">
              <c16:uniqueId val="{0000000B-F5C7-4505-851D-6091F27D9B7B}"/>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scaling>
        <c:delete val="1"/>
        <c:axPos val="l"/>
        <c:numFmt formatCode="#,##0.0\ &quot;MMBtu&quot;"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1.2065199454697143E-2"/>
          <c:y val="0.89434667740050133"/>
          <c:w val="0.43951104851695666"/>
          <c:h val="0.10067282634233954"/>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1.7618947919991636E-4"/>
          <c:y val="3.5196736475108507E-2"/>
          <c:w val="0.99506225143342719"/>
          <c:h val="0.67491939084607133"/>
        </c:manualLayout>
      </c:layout>
      <c:barChart>
        <c:barDir val="col"/>
        <c:grouping val="stacked"/>
        <c:varyColors val="0"/>
        <c:ser>
          <c:idx val="0"/>
          <c:order val="0"/>
          <c:tx>
            <c:strRef>
              <c:f>'Results Dashboard'!$W$33</c:f>
              <c:strCache>
                <c:ptCount val="1"/>
                <c:pt idx="0">
                  <c:v>Raw Materials Energy</c:v>
                </c:pt>
              </c:strCache>
            </c:strRef>
          </c:tx>
          <c:spPr>
            <a:solidFill>
              <a:schemeClr val="accent6">
                <a:tint val="58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fld id="{9CDFBC6D-A5DC-B044-B39B-F4B55FF28C1C}" type="CELLRANGE">
                      <a:rPr lang="en-US"/>
                      <a:pPr>
                        <a:defRPr sz="105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0664737380114069"/>
                      <c:h val="0.13974175518657647"/>
                    </c:manualLayout>
                  </c15:layout>
                  <c15:dlblFieldTable/>
                  <c15:showDataLabelsRange val="1"/>
                </c:ext>
                <c:ext xmlns:c16="http://schemas.microsoft.com/office/drawing/2014/chart" uri="{C3380CC4-5D6E-409C-BE32-E72D297353CC}">
                  <c16:uniqueId val="{00000002-9A80-41A4-A5D2-53B09358963E}"/>
                </c:ext>
              </c:extLst>
            </c:dLbl>
            <c:dLbl>
              <c:idx val="1"/>
              <c:layout>
                <c:manualLayout>
                  <c:x val="3.6429192995512949E-17"/>
                  <c:y val="-4.8914763237747842E-2"/>
                </c:manualLayout>
              </c:layout>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74433212-DA10-5B41-9C16-3B4DBF3ED476}"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975275366649357"/>
                      <c:h val="9.4328259212162174E-2"/>
                    </c:manualLayout>
                  </c15:layout>
                  <c15:dlblFieldTable/>
                  <c15:showDataLabelsRange val="1"/>
                </c:ext>
                <c:ext xmlns:c16="http://schemas.microsoft.com/office/drawing/2014/chart" uri="{C3380CC4-5D6E-409C-BE32-E72D297353CC}">
                  <c16:uniqueId val="{00000001-9A80-41A4-A5D2-53B09358963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Dashboard'!$X$32:$Y$32</c:f>
              <c:strCache>
                <c:ptCount val="2"/>
                <c:pt idx="0">
                  <c:v>Waste Heat Recovery (Heat Pump)</c:v>
                </c:pt>
                <c:pt idx="1">
                  <c:v>Evaporative Condenser</c:v>
                </c:pt>
              </c:strCache>
            </c:strRef>
          </c:cat>
          <c:val>
            <c:numRef>
              <c:f>'Results Dashboard'!$X$33:$Y$33</c:f>
              <c:numCache>
                <c:formatCode>#,##0.0\ "TBtu"</c:formatCode>
                <c:ptCount val="2"/>
                <c:pt idx="0">
                  <c:v>0.92359388773589646</c:v>
                </c:pt>
                <c:pt idx="1">
                  <c:v>1.6777717651518871</c:v>
                </c:pt>
              </c:numCache>
            </c:numRef>
          </c:val>
          <c:extLst>
            <c:ext xmlns:c15="http://schemas.microsoft.com/office/drawing/2012/chart" uri="{02D57815-91ED-43cb-92C2-25804820EDAC}">
              <c15:datalabelsRange>
                <c15:f>'Results Dashboard'!$Z$33:$AA$33</c15:f>
                <c15:dlblRangeCache>
                  <c:ptCount val="2"/>
                </c15:dlblRangeCache>
              </c15:datalabelsRange>
            </c:ext>
            <c:ext xmlns:c16="http://schemas.microsoft.com/office/drawing/2014/chart" uri="{C3380CC4-5D6E-409C-BE32-E72D297353CC}">
              <c16:uniqueId val="{00000002-FC66-4E1D-ADB9-4EBD59F23848}"/>
            </c:ext>
          </c:extLst>
        </c:ser>
        <c:ser>
          <c:idx val="3"/>
          <c:order val="1"/>
          <c:tx>
            <c:strRef>
              <c:f>'Results Dashboard'!$W$34</c:f>
              <c:strCache>
                <c:ptCount val="1"/>
                <c:pt idx="0">
                  <c:v>Manufacturing Energy</c:v>
                </c:pt>
              </c:strCache>
            </c:strRef>
          </c:tx>
          <c:spPr>
            <a:solidFill>
              <a:schemeClr val="accent6">
                <a:shade val="58000"/>
              </a:schemeClr>
            </a:solidFill>
            <a:ln>
              <a:noFill/>
            </a:ln>
            <a:effectLst/>
          </c:spPr>
          <c:invertIfNegative val="0"/>
          <c:dLbls>
            <c:dLbl>
              <c:idx val="0"/>
              <c:layout>
                <c:manualLayout>
                  <c:x val="-3.6559145356571216E-3"/>
                  <c:y val="-3.861691834559040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BF0B403D-9406-4F4B-94EC-34D30723B5D2}"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40681174602160214"/>
                      <c:h val="8.2267009738963823E-2"/>
                    </c:manualLayout>
                  </c15:layout>
                  <c15:dlblFieldTable/>
                  <c15:showDataLabelsRange val="1"/>
                </c:ext>
                <c:ext xmlns:c16="http://schemas.microsoft.com/office/drawing/2014/chart" uri="{C3380CC4-5D6E-409C-BE32-E72D297353CC}">
                  <c16:uniqueId val="{00000003-FC66-4E1D-ADB9-4EBD59F23848}"/>
                </c:ext>
              </c:extLst>
            </c:dLbl>
            <c:dLbl>
              <c:idx val="1"/>
              <c:layout>
                <c:manualLayout>
                  <c:x val="1.8279572678284589E-3"/>
                  <c:y val="-3.8616918345590404E-2"/>
                </c:manualLayout>
              </c:layout>
              <c:tx>
                <c:rich>
                  <a:bodyPr/>
                  <a:lstStyle/>
                  <a:p>
                    <a:fld id="{3D08B522-E1FB-2D42-9E91-20E0308059D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42509131869988764"/>
                      <c:h val="9.2564854631121268E-2"/>
                    </c:manualLayout>
                  </c15:layout>
                  <c15:dlblFieldTable/>
                  <c15:showDataLabelsRange val="1"/>
                </c:ext>
                <c:ext xmlns:c16="http://schemas.microsoft.com/office/drawing/2014/chart" uri="{C3380CC4-5D6E-409C-BE32-E72D297353CC}">
                  <c16:uniqueId val="{00000004-FC66-4E1D-ADB9-4EBD59F2384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Dashboard'!$X$32:$Y$32</c:f>
              <c:strCache>
                <c:ptCount val="2"/>
                <c:pt idx="0">
                  <c:v>Waste Heat Recovery (Heat Pump)</c:v>
                </c:pt>
                <c:pt idx="1">
                  <c:v>Evaporative Condenser</c:v>
                </c:pt>
              </c:strCache>
            </c:strRef>
          </c:cat>
          <c:val>
            <c:numRef>
              <c:f>'Results Dashboard'!$X$34:$Y$34</c:f>
              <c:numCache>
                <c:formatCode>#,##0.0\ "TBtu"</c:formatCode>
                <c:ptCount val="2"/>
                <c:pt idx="0">
                  <c:v>9.8866550814139392E-2</c:v>
                </c:pt>
                <c:pt idx="1">
                  <c:v>3.9228370623538531</c:v>
                </c:pt>
              </c:numCache>
            </c:numRef>
          </c:val>
          <c:extLst>
            <c:ext xmlns:c15="http://schemas.microsoft.com/office/drawing/2012/chart" uri="{02D57815-91ED-43cb-92C2-25804820EDAC}">
              <c15:datalabelsRange>
                <c15:f>'Results Dashboard'!$Z$34:$AA$34</c15:f>
                <c15:dlblRangeCache>
                  <c:ptCount val="2"/>
                  <c:pt idx="1">
                    <c:v>Manufacturing Energy: 
3.9 TBtu</c:v>
                  </c:pt>
                </c15:dlblRangeCache>
              </c15:datalabelsRange>
            </c:ext>
            <c:ext xmlns:c16="http://schemas.microsoft.com/office/drawing/2014/chart" uri="{C3380CC4-5D6E-409C-BE32-E72D297353CC}">
              <c16:uniqueId val="{00000005-FC66-4E1D-ADB9-4EBD59F23848}"/>
            </c:ext>
          </c:extLst>
        </c:ser>
        <c:ser>
          <c:idx val="1"/>
          <c:order val="2"/>
          <c:tx>
            <c:strRef>
              <c:f>'Results Dashboard'!$W$35</c:f>
              <c:strCache>
                <c:ptCount val="1"/>
                <c:pt idx="0">
                  <c:v>Use Phase Energy</c:v>
                </c:pt>
              </c:strCache>
            </c:strRef>
          </c:tx>
          <c:spPr>
            <a:solidFill>
              <a:schemeClr val="accent6">
                <a:tint val="86000"/>
              </a:schemeClr>
            </a:solidFill>
            <a:ln>
              <a:noFill/>
            </a:ln>
            <a:effectLst/>
          </c:spPr>
          <c:invertIfNegative val="0"/>
          <c:dLbls>
            <c:dLbl>
              <c:idx val="0"/>
              <c:tx>
                <c:rich>
                  <a:bodyPr/>
                  <a:lstStyle/>
                  <a:p>
                    <a:fld id="{918B16FA-F14F-EE47-9A42-6564A51DDFB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40498378875377355"/>
                      <c:h val="9.2564854631121268E-2"/>
                    </c:manualLayout>
                  </c15:layout>
                  <c15:dlblFieldTable/>
                  <c15:showDataLabelsRange val="1"/>
                </c:ext>
                <c:ext xmlns:c16="http://schemas.microsoft.com/office/drawing/2014/chart" uri="{C3380CC4-5D6E-409C-BE32-E72D297353CC}">
                  <c16:uniqueId val="{00000009-FC66-4E1D-ADB9-4EBD59F23848}"/>
                </c:ext>
              </c:extLst>
            </c:dLbl>
            <c:dLbl>
              <c:idx val="1"/>
              <c:tx>
                <c:rich>
                  <a:bodyPr/>
                  <a:lstStyle/>
                  <a:p>
                    <a:fld id="{E8C107E3-9302-FC41-AD69-2275068D851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41097948859225125"/>
                      <c:h val="9.2564854631121268E-2"/>
                    </c:manualLayout>
                  </c15:layout>
                  <c15:dlblFieldTable/>
                  <c15:showDataLabelsRange val="1"/>
                </c:ext>
                <c:ext xmlns:c16="http://schemas.microsoft.com/office/drawing/2014/chart" uri="{C3380CC4-5D6E-409C-BE32-E72D297353CC}">
                  <c16:uniqueId val="{00000008-FC66-4E1D-ADB9-4EBD59F238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Dashboard'!$X$32:$Y$32</c:f>
              <c:strCache>
                <c:ptCount val="2"/>
                <c:pt idx="0">
                  <c:v>Waste Heat Recovery (Heat Pump)</c:v>
                </c:pt>
                <c:pt idx="1">
                  <c:v>Evaporative Condenser</c:v>
                </c:pt>
              </c:strCache>
            </c:strRef>
          </c:cat>
          <c:val>
            <c:numRef>
              <c:f>'Results Dashboard'!$X$35:$Y$35</c:f>
              <c:numCache>
                <c:formatCode>#,##0.0\ "TBtu"</c:formatCode>
                <c:ptCount val="2"/>
                <c:pt idx="0">
                  <c:v>86.410985718984719</c:v>
                </c:pt>
                <c:pt idx="1">
                  <c:v>127.46278827441921</c:v>
                </c:pt>
              </c:numCache>
            </c:numRef>
          </c:val>
          <c:extLst>
            <c:ext xmlns:c15="http://schemas.microsoft.com/office/drawing/2012/chart" uri="{02D57815-91ED-43cb-92C2-25804820EDAC}">
              <c15:datalabelsRange>
                <c15:f>'Results Dashboard'!$Z$35:$AA$35</c15:f>
                <c15:dlblRangeCache>
                  <c:ptCount val="2"/>
                  <c:pt idx="0">
                    <c:v>Use Phase Energy: 
86.4 TBtu</c:v>
                  </c:pt>
                  <c:pt idx="1">
                    <c:v>Use Phase Energy: 
127.5 TBtu</c:v>
                  </c:pt>
                </c15:dlblRangeCache>
              </c15:datalabelsRange>
            </c:ext>
            <c:ext xmlns:c16="http://schemas.microsoft.com/office/drawing/2014/chart" uri="{C3380CC4-5D6E-409C-BE32-E72D297353CC}">
              <c16:uniqueId val="{00000007-FC66-4E1D-ADB9-4EBD59F23848}"/>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min val="0"/>
        </c:scaling>
        <c:delete val="1"/>
        <c:axPos val="l"/>
        <c:numFmt formatCode="#,##0.0\ &quot;TBtu&quot;"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8.4141645158743745E-3"/>
          <c:y val="0.86797503620713623"/>
          <c:w val="0.45604588602666785"/>
          <c:h val="0.1217407979735138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618947919991636E-4"/>
          <c:y val="3.5196736475108507E-2"/>
          <c:w val="0.99506225143342719"/>
          <c:h val="0.67274912434631839"/>
        </c:manualLayout>
      </c:layout>
      <c:barChart>
        <c:barDir val="col"/>
        <c:grouping val="stacked"/>
        <c:varyColors val="0"/>
        <c:ser>
          <c:idx val="1"/>
          <c:order val="0"/>
          <c:tx>
            <c:strRef>
              <c:f>'Results Dashboard'!$W$17</c:f>
              <c:strCache>
                <c:ptCount val="1"/>
                <c:pt idx="0">
                  <c:v>Raw Materials Costs</c:v>
                </c:pt>
              </c:strCache>
            </c:strRef>
          </c:tx>
          <c:spPr>
            <a:solidFill>
              <a:schemeClr val="accent2"/>
            </a:solidFill>
            <a:ln>
              <a:noFill/>
            </a:ln>
            <a:effectLst/>
          </c:spPr>
          <c:invertIfNegative val="0"/>
          <c:dLbls>
            <c:dLbl>
              <c:idx val="0"/>
              <c:tx>
                <c:rich>
                  <a:bodyPr/>
                  <a:lstStyle/>
                  <a:p>
                    <a:fld id="{7559E2DD-F473-9A4E-BAF8-2EFFA7CA79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4240221795986723"/>
                      <c:h val="9.2564854631121268E-2"/>
                    </c:manualLayout>
                  </c15:layout>
                  <c15:dlblFieldTable/>
                  <c15:showDataLabelsRange val="1"/>
                </c:ext>
                <c:ext xmlns:c16="http://schemas.microsoft.com/office/drawing/2014/chart" uri="{C3380CC4-5D6E-409C-BE32-E72D297353CC}">
                  <c16:uniqueId val="{00000003-E478-423C-9A4C-FB656B5A96A9}"/>
                </c:ext>
              </c:extLst>
            </c:dLbl>
            <c:dLbl>
              <c:idx val="1"/>
              <c:tx>
                <c:rich>
                  <a:bodyPr/>
                  <a:lstStyle/>
                  <a:p>
                    <a:fld id="{792A9B17-B50A-254B-90E6-284CB432A2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1960082594881776"/>
                      <c:h val="9.2564854631121268E-2"/>
                    </c:manualLayout>
                  </c15:layout>
                  <c15:dlblFieldTable/>
                  <c15:showDataLabelsRange val="1"/>
                </c:ext>
                <c:ext xmlns:c16="http://schemas.microsoft.com/office/drawing/2014/chart" uri="{C3380CC4-5D6E-409C-BE32-E72D297353CC}">
                  <c16:uniqueId val="{00000004-E478-423C-9A4C-FB656B5A96A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'Results Dashboard'!$X$17:$Y$17</c:f>
              <c:numCache>
                <c:formatCode>"$"#,##0</c:formatCode>
                <c:ptCount val="2"/>
                <c:pt idx="0">
                  <c:v>51246000</c:v>
                </c:pt>
                <c:pt idx="1">
                  <c:v>355680976.15979385</c:v>
                </c:pt>
              </c:numCache>
            </c:numRef>
          </c:val>
          <c:extLst>
            <c:ext xmlns:c15="http://schemas.microsoft.com/office/drawing/2012/chart" uri="{02D57815-91ED-43cb-92C2-25804820EDAC}">
              <c15:datalabelsRange>
                <c15:f>'Results Dashboard'!$Z$17:$AA$17</c15:f>
                <c15:dlblRangeCache>
                  <c:ptCount val="2"/>
                  <c:pt idx="0">
                    <c:v>Raw Materials Costs: $51,246,000</c:v>
                  </c:pt>
                  <c:pt idx="1">
                    <c:v>Raw Materials Costs: $355,680,976</c:v>
                  </c:pt>
                </c15:dlblRangeCache>
              </c15:datalabelsRange>
            </c:ext>
            <c:ext xmlns:c16="http://schemas.microsoft.com/office/drawing/2014/chart" uri="{C3380CC4-5D6E-409C-BE32-E72D297353CC}">
              <c16:uniqueId val="{00000005-E478-423C-9A4C-FB656B5A96A9}"/>
            </c:ext>
          </c:extLst>
        </c:ser>
        <c:ser>
          <c:idx val="0"/>
          <c:order val="1"/>
          <c:tx>
            <c:strRef>
              <c:f>'Results Dashboard'!$W$16</c:f>
              <c:strCache>
                <c:ptCount val="1"/>
                <c:pt idx="0">
                  <c:v>CapEx Costs</c:v>
                </c:pt>
              </c:strCache>
            </c:strRef>
          </c:tx>
          <c:spPr>
            <a:solidFill>
              <a:schemeClr val="accent1"/>
            </a:solidFill>
            <a:ln>
              <a:noFill/>
            </a:ln>
            <a:effectLst/>
          </c:spPr>
          <c:invertIfNegative val="0"/>
          <c:dLbls>
            <c:dLbl>
              <c:idx val="0"/>
              <c:tx>
                <c:rich>
                  <a:bodyPr/>
                  <a:lstStyle/>
                  <a:p>
                    <a:fld id="{6135B3EF-E814-A94D-BEF5-99B5019867A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37118500280526673"/>
                      <c:h val="6.4284296739292826E-2"/>
                    </c:manualLayout>
                  </c15:layout>
                  <c15:dlblFieldTable/>
                  <c15:showDataLabelsRange val="1"/>
                </c:ext>
                <c:ext xmlns:c16="http://schemas.microsoft.com/office/drawing/2014/chart" uri="{C3380CC4-5D6E-409C-BE32-E72D297353CC}">
                  <c16:uniqueId val="{00000000-E478-423C-9A4C-FB656B5A96A9}"/>
                </c:ext>
              </c:extLst>
            </c:dLbl>
            <c:dLbl>
              <c:idx val="1"/>
              <c:tx>
                <c:rich>
                  <a:bodyPr/>
                  <a:lstStyle/>
                  <a:p>
                    <a:fld id="{9082CD84-590F-6A4E-9B84-316B6E1750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478-423C-9A4C-FB656B5A96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'Results Dashboard'!$X$5:$Y$5</c:f>
              <c:strCache>
                <c:ptCount val="2"/>
                <c:pt idx="0">
                  <c:v>Waste Heat Recovery (Heat Pump)</c:v>
                </c:pt>
                <c:pt idx="1">
                  <c:v>Evaporative Condenser</c:v>
                </c:pt>
              </c:strCache>
            </c:strRef>
          </c:cat>
          <c:val>
            <c:numRef>
              <c:f>'Results Dashboard'!$X$16:$Y$16</c:f>
              <c:numCache>
                <c:formatCode>"$"#,##0</c:formatCode>
                <c:ptCount val="2"/>
                <c:pt idx="0">
                  <c:v>396929229.72972971</c:v>
                </c:pt>
                <c:pt idx="1">
                  <c:v>681660000</c:v>
                </c:pt>
              </c:numCache>
            </c:numRef>
          </c:val>
          <c:extLst>
            <c:ext xmlns:c15="http://schemas.microsoft.com/office/drawing/2012/chart" uri="{02D57815-91ED-43cb-92C2-25804820EDAC}">
              <c15:datalabelsRange>
                <c15:f>'Results Dashboard'!$Z$16:$AA$16</c15:f>
                <c15:dlblRangeCache>
                  <c:ptCount val="2"/>
                  <c:pt idx="0">
                    <c:v>CapEx Costs: $396,929,230</c:v>
                  </c:pt>
                  <c:pt idx="1">
                    <c:v>CapEx Costs: $681,660,000</c:v>
                  </c:pt>
                </c15:dlblRangeCache>
              </c15:datalabelsRange>
            </c:ext>
            <c:ext xmlns:c16="http://schemas.microsoft.com/office/drawing/2014/chart" uri="{C3380CC4-5D6E-409C-BE32-E72D297353CC}">
              <c16:uniqueId val="{00000002-E478-423C-9A4C-FB656B5A96A9}"/>
            </c:ext>
          </c:extLst>
        </c:ser>
        <c:ser>
          <c:idx val="2"/>
          <c:order val="2"/>
          <c:tx>
            <c:strRef>
              <c:f>'Results Dashboard'!$W$18</c:f>
              <c:strCache>
                <c:ptCount val="1"/>
                <c:pt idx="0">
                  <c:v>Energy Costs</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97F0CC1B-FCF4-1243-AC83-8EBD2CFFDE76}"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52908826960962"/>
                      <c:h val="7.4620859906536927E-2"/>
                    </c:manualLayout>
                  </c15:layout>
                  <c15:dlblFieldTable/>
                  <c15:showDataLabelsRange val="1"/>
                </c:ext>
                <c:ext xmlns:c16="http://schemas.microsoft.com/office/drawing/2014/chart" uri="{C3380CC4-5D6E-409C-BE32-E72D297353CC}">
                  <c16:uniqueId val="{00000006-E478-423C-9A4C-FB656B5A96A9}"/>
                </c:ext>
              </c:extLst>
            </c:dLbl>
            <c:dLbl>
              <c:idx val="1"/>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7802F161-FEAA-0742-ABC1-CCBF9C636EE3}"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234068057008086"/>
                      <c:h val="4.1152864007025239E-2"/>
                    </c:manualLayout>
                  </c15:layout>
                  <c15:dlblFieldTable/>
                  <c15:showDataLabelsRange val="1"/>
                </c:ext>
                <c:ext xmlns:c16="http://schemas.microsoft.com/office/drawing/2014/chart" uri="{C3380CC4-5D6E-409C-BE32-E72D297353CC}">
                  <c16:uniqueId val="{00000007-E478-423C-9A4C-FB656B5A96A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 Dashboard'!$X$18:$Y$18</c:f>
              <c:numCache>
                <c:formatCode>"$"#,##0</c:formatCode>
                <c:ptCount val="2"/>
                <c:pt idx="0">
                  <c:v>651341.18397300143</c:v>
                </c:pt>
                <c:pt idx="1">
                  <c:v>28793782.123465333</c:v>
                </c:pt>
              </c:numCache>
            </c:numRef>
          </c:val>
          <c:extLst>
            <c:ext xmlns:c15="http://schemas.microsoft.com/office/drawing/2012/chart" uri="{02D57815-91ED-43cb-92C2-25804820EDAC}">
              <c15:datalabelsRange>
                <c15:f>'Results Dashboard'!$Z$18:$AA$18</c15:f>
                <c15:dlblRangeCache>
                  <c:ptCount val="2"/>
                  <c:pt idx="1">
                    <c:v>Energy Costs: $28,793,782</c:v>
                  </c:pt>
                </c15:dlblRangeCache>
              </c15:datalabelsRange>
            </c:ext>
            <c:ext xmlns:c16="http://schemas.microsoft.com/office/drawing/2014/chart" uri="{C3380CC4-5D6E-409C-BE32-E72D297353CC}">
              <c16:uniqueId val="{00000008-E478-423C-9A4C-FB656B5A96A9}"/>
            </c:ext>
          </c:extLst>
        </c:ser>
        <c:ser>
          <c:idx val="3"/>
          <c:order val="3"/>
          <c:tx>
            <c:strRef>
              <c:f>'Results Dashboard'!$W$19</c:f>
              <c:strCache>
                <c:ptCount val="1"/>
                <c:pt idx="0">
                  <c:v>Labor Costs</c:v>
                </c:pt>
              </c:strCache>
            </c:strRef>
          </c:tx>
          <c:spPr>
            <a:solidFill>
              <a:schemeClr val="accent4"/>
            </a:solidFill>
            <a:ln>
              <a:noFill/>
            </a:ln>
            <a:effectLst/>
          </c:spPr>
          <c:invertIfNegative val="0"/>
          <c:dLbls>
            <c:dLbl>
              <c:idx val="0"/>
              <c:tx>
                <c:rich>
                  <a:bodyPr/>
                  <a:lstStyle/>
                  <a:p>
                    <a:fld id="{3DC0B20B-19EB-9748-BAC2-9AA4CCAFC9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478-423C-9A4C-FB656B5A96A9}"/>
                </c:ext>
              </c:extLst>
            </c:dLbl>
            <c:dLbl>
              <c:idx val="1"/>
              <c:tx>
                <c:rich>
                  <a:bodyPr/>
                  <a:lstStyle/>
                  <a:p>
                    <a:fld id="{C0111599-F199-584E-9EFD-14C05847B3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478-423C-9A4C-FB656B5A96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'Results Dashboard'!$X$19:$Y$19</c:f>
              <c:numCache>
                <c:formatCode>"$"#,##0</c:formatCode>
                <c:ptCount val="2"/>
                <c:pt idx="0">
                  <c:v>12403846.153846154</c:v>
                </c:pt>
                <c:pt idx="1">
                  <c:v>42793269.230769224</c:v>
                </c:pt>
              </c:numCache>
            </c:numRef>
          </c:val>
          <c:extLst>
            <c:ext xmlns:c15="http://schemas.microsoft.com/office/drawing/2012/chart" uri="{02D57815-91ED-43cb-92C2-25804820EDAC}">
              <c15:datalabelsRange>
                <c15:f>'Results Dashboard'!$Z$19:$AA$19</c15:f>
                <c15:dlblRangeCache>
                  <c:ptCount val="2"/>
                  <c:pt idx="0">
                    <c:v>Labor Costs: $12,403,846</c:v>
                  </c:pt>
                  <c:pt idx="1">
                    <c:v>Labor Costs: $42,793,269</c:v>
                  </c:pt>
                </c15:dlblRangeCache>
              </c15:datalabelsRange>
            </c:ext>
            <c:ext xmlns:c16="http://schemas.microsoft.com/office/drawing/2014/chart" uri="{C3380CC4-5D6E-409C-BE32-E72D297353CC}">
              <c16:uniqueId val="{0000000B-E478-423C-9A4C-FB656B5A96A9}"/>
            </c:ext>
          </c:extLst>
        </c:ser>
        <c:ser>
          <c:idx val="4"/>
          <c:order val="4"/>
          <c:tx>
            <c:strRef>
              <c:f>'Results Dashboard'!$W$20</c:f>
              <c:strCache>
                <c:ptCount val="1"/>
                <c:pt idx="0">
                  <c:v>Other Costs</c:v>
                </c:pt>
              </c:strCache>
            </c:strRef>
          </c:tx>
          <c:spPr>
            <a:solidFill>
              <a:schemeClr val="accent5"/>
            </a:solidFill>
            <a:ln>
              <a:noFill/>
            </a:ln>
            <a:effectLst/>
          </c:spPr>
          <c:invertIfNegative val="0"/>
          <c:val>
            <c:numRef>
              <c:f>'Results Dashboard'!$X$20:$Y$20</c:f>
              <c:numCache>
                <c:formatCode>"$"#,##0</c:formatCode>
                <c:ptCount val="2"/>
                <c:pt idx="0">
                  <c:v>50000000</c:v>
                </c:pt>
                <c:pt idx="1">
                  <c:v>120000000.00000001</c:v>
                </c:pt>
              </c:numCache>
            </c:numRef>
          </c:val>
          <c:extLst>
            <c:ext xmlns:c16="http://schemas.microsoft.com/office/drawing/2014/chart" uri="{C3380CC4-5D6E-409C-BE32-E72D297353CC}">
              <c16:uniqueId val="{00000001-2B26-414C-B21D-BDBE2F9D3CFA}"/>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scaling>
        <c:delete val="1"/>
        <c:axPos val="l"/>
        <c:numFmt formatCode="&quot;$&quot;#,##0"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8.4141143996990901E-3"/>
          <c:y val="0.81864617998266176"/>
          <c:w val="0.36231064282509184"/>
          <c:h val="0.1813538200173383"/>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1.7618947919991636E-4"/>
          <c:y val="3.5196736475108507E-2"/>
          <c:w val="0.99506225143342719"/>
          <c:h val="0.67781051570658701"/>
        </c:manualLayout>
      </c:layout>
      <c:barChart>
        <c:barDir val="col"/>
        <c:grouping val="stacked"/>
        <c:varyColors val="0"/>
        <c:ser>
          <c:idx val="0"/>
          <c:order val="0"/>
          <c:tx>
            <c:strRef>
              <c:f>'Results Dashboard'!$W$47</c:f>
              <c:strCache>
                <c:ptCount val="1"/>
                <c:pt idx="0">
                  <c:v>Raw Materials Emissions</c:v>
                </c:pt>
              </c:strCache>
            </c:strRef>
          </c:tx>
          <c:spPr>
            <a:solidFill>
              <a:schemeClr val="accent4">
                <a:shade val="58000"/>
              </a:schemeClr>
            </a:solidFill>
            <a:ln>
              <a:noFill/>
            </a:ln>
            <a:effectLst/>
          </c:spPr>
          <c:invertIfNegative val="0"/>
          <c:dLbls>
            <c:dLbl>
              <c:idx val="0"/>
              <c:layout>
                <c:manualLayout>
                  <c:x val="3.6633924976029299E-3"/>
                  <c:y val="-3.856561032659514E-2"/>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BA00E0E0-7749-FE4F-B395-03A7E2CC38F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805789429353064"/>
                      <c:h val="8.983216165408206E-2"/>
                    </c:manualLayout>
                  </c15:layout>
                  <c15:dlblFieldTable/>
                  <c15:showDataLabelsRange val="1"/>
                </c:ext>
                <c:ext xmlns:c16="http://schemas.microsoft.com/office/drawing/2014/chart" uri="{C3380CC4-5D6E-409C-BE32-E72D297353CC}">
                  <c16:uniqueId val="{00000000-7A85-4439-AF5A-FDA8C4B1A149}"/>
                </c:ext>
              </c:extLst>
            </c:dLbl>
            <c:dLbl>
              <c:idx val="1"/>
              <c:layout>
                <c:manualLayout>
                  <c:x val="0"/>
                  <c:y val="-3.856561032659514E-2"/>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EA989C2E-73CA-E348-B80C-9601E72E15E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1708040886921749"/>
                      <c:h val="8.983216165408206E-2"/>
                    </c:manualLayout>
                  </c15:layout>
                  <c15:dlblFieldTable/>
                  <c15:showDataLabelsRange val="1"/>
                </c:ext>
                <c:ext xmlns:c16="http://schemas.microsoft.com/office/drawing/2014/chart" uri="{C3380CC4-5D6E-409C-BE32-E72D297353CC}">
                  <c16:uniqueId val="{00000001-7A85-4439-AF5A-FDA8C4B1A1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'Results Dashboard'!$X$46:$Y$46</c:f>
              <c:strCache>
                <c:ptCount val="2"/>
                <c:pt idx="0">
                  <c:v>Waste Heat Recovery (Heat Pump)</c:v>
                </c:pt>
                <c:pt idx="1">
                  <c:v>Evaporative Condenser</c:v>
                </c:pt>
              </c:strCache>
            </c:strRef>
          </c:cat>
          <c:val>
            <c:numRef>
              <c:f>'Results Dashboard'!$X$47:$Y$47</c:f>
              <c:numCache>
                <c:formatCode>#,##0.0\ "million tons CO2-e"</c:formatCode>
                <c:ptCount val="2"/>
                <c:pt idx="0">
                  <c:v>2.7878599909124998E-2</c:v>
                </c:pt>
                <c:pt idx="1">
                  <c:v>9.5417043176908245E-2</c:v>
                </c:pt>
              </c:numCache>
            </c:numRef>
          </c:val>
          <c:extLst>
            <c:ext xmlns:c15="http://schemas.microsoft.com/office/drawing/2012/chart" uri="{02D57815-91ED-43cb-92C2-25804820EDAC}">
              <c15:datalabelsRange>
                <c15:f>'Results Dashboard'!$Z$47:$AA$47</c15:f>
                <c15:dlblRangeCache>
                  <c:ptCount val="2"/>
                  <c:pt idx="1">
                    <c:v>Raw Materials Emissions: 
0.1 million tons CO2-e</c:v>
                  </c:pt>
                </c15:dlblRangeCache>
              </c15:datalabelsRange>
            </c:ext>
            <c:ext xmlns:c16="http://schemas.microsoft.com/office/drawing/2014/chart" uri="{C3380CC4-5D6E-409C-BE32-E72D297353CC}">
              <c16:uniqueId val="{00000002-7A85-4439-AF5A-FDA8C4B1A149}"/>
            </c:ext>
          </c:extLst>
        </c:ser>
        <c:ser>
          <c:idx val="3"/>
          <c:order val="1"/>
          <c:tx>
            <c:strRef>
              <c:f>'Results Dashboard'!$W$48</c:f>
              <c:strCache>
                <c:ptCount val="1"/>
                <c:pt idx="0">
                  <c:v>Manufacturing Emissions</c:v>
                </c:pt>
              </c:strCache>
            </c:strRef>
          </c:tx>
          <c:spPr>
            <a:solidFill>
              <a:schemeClr val="accent4">
                <a:tint val="58000"/>
              </a:schemeClr>
            </a:solidFill>
            <a:ln>
              <a:noFill/>
            </a:ln>
            <a:effectLst/>
          </c:spPr>
          <c:invertIfNegative val="0"/>
          <c:dLbls>
            <c:dLbl>
              <c:idx val="0"/>
              <c:tx>
                <c:rich>
                  <a:bodyPr/>
                  <a:lstStyle/>
                  <a:p>
                    <a:fld id="{BE4559C4-AE6A-D04A-B59E-C631BF3426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5473280907591129"/>
                      <c:h val="0.1206846499153581"/>
                    </c:manualLayout>
                  </c15:layout>
                  <c15:dlblFieldTable/>
                  <c15:showDataLabelsRange val="1"/>
                </c:ext>
                <c:ext xmlns:c16="http://schemas.microsoft.com/office/drawing/2014/chart" uri="{C3380CC4-5D6E-409C-BE32-E72D297353CC}">
                  <c16:uniqueId val="{00000003-7A85-4439-AF5A-FDA8C4B1A149}"/>
                </c:ext>
              </c:extLst>
            </c:dLbl>
            <c:dLbl>
              <c:idx val="1"/>
              <c:tx>
                <c:rich>
                  <a:bodyPr/>
                  <a:lstStyle/>
                  <a:p>
                    <a:fld id="{5F192D95-2027-7D44-A9B0-D878A110B01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1685956089839443"/>
                      <c:h val="0.1206846499153581"/>
                    </c:manualLayout>
                  </c15:layout>
                  <c15:dlblFieldTable/>
                  <c15:showDataLabelsRange val="1"/>
                </c:ext>
                <c:ext xmlns:c16="http://schemas.microsoft.com/office/drawing/2014/chart" uri="{C3380CC4-5D6E-409C-BE32-E72D297353CC}">
                  <c16:uniqueId val="{00000004-7A85-4439-AF5A-FDA8C4B1A1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'Results Dashboard'!$X$46:$Y$46</c:f>
              <c:strCache>
                <c:ptCount val="2"/>
                <c:pt idx="0">
                  <c:v>Waste Heat Recovery (Heat Pump)</c:v>
                </c:pt>
                <c:pt idx="1">
                  <c:v>Evaporative Condenser</c:v>
                </c:pt>
              </c:strCache>
            </c:strRef>
          </c:cat>
          <c:val>
            <c:numRef>
              <c:f>'Results Dashboard'!$X$48:$Y$48</c:f>
              <c:numCache>
                <c:formatCode>#,##0.0\ "million tons CO2-e"</c:formatCode>
                <c:ptCount val="2"/>
                <c:pt idx="0">
                  <c:v>0.12080041840836603</c:v>
                </c:pt>
                <c:pt idx="1">
                  <c:v>7.674372278580778E-2</c:v>
                </c:pt>
              </c:numCache>
            </c:numRef>
          </c:val>
          <c:extLst>
            <c:ext xmlns:c15="http://schemas.microsoft.com/office/drawing/2012/chart" uri="{02D57815-91ED-43cb-92C2-25804820EDAC}">
              <c15:datalabelsRange>
                <c15:f>'Results Dashboard'!$Z$48:$AA$48</c15:f>
                <c15:dlblRangeCache>
                  <c:ptCount val="2"/>
                  <c:pt idx="1">
                    <c:v>Manufacturing Emissions: 
0.1 million tons CO2-e</c:v>
                  </c:pt>
                </c15:dlblRangeCache>
              </c15:datalabelsRange>
            </c:ext>
            <c:ext xmlns:c16="http://schemas.microsoft.com/office/drawing/2014/chart" uri="{C3380CC4-5D6E-409C-BE32-E72D297353CC}">
              <c16:uniqueId val="{00000005-7A85-4439-AF5A-FDA8C4B1A149}"/>
            </c:ext>
          </c:extLst>
        </c:ser>
        <c:ser>
          <c:idx val="1"/>
          <c:order val="2"/>
          <c:tx>
            <c:strRef>
              <c:f>'Results Dashboard'!$W$49</c:f>
              <c:strCache>
                <c:ptCount val="1"/>
                <c:pt idx="0">
                  <c:v>Use Phase Emissions</c:v>
                </c:pt>
              </c:strCache>
            </c:strRef>
          </c:tx>
          <c:spPr>
            <a:solidFill>
              <a:schemeClr val="accent4">
                <a:shade val="86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19CBF868-DDCE-9848-9F87-90D684B2629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4192601505007184"/>
                      <c:h val="8.4767211497855918E-2"/>
                    </c:manualLayout>
                  </c15:layout>
                  <c15:dlblFieldTable/>
                  <c15:showDataLabelsRange val="1"/>
                </c:ext>
                <c:ext xmlns:c16="http://schemas.microsoft.com/office/drawing/2014/chart" uri="{C3380CC4-5D6E-409C-BE32-E72D297353CC}">
                  <c16:uniqueId val="{00000006-7A85-4439-AF5A-FDA8C4B1A149}"/>
                </c:ext>
              </c:extLst>
            </c:dLbl>
            <c:dLbl>
              <c:idx val="1"/>
              <c:tx>
                <c:rich>
                  <a:bodyPr/>
                  <a:lstStyle/>
                  <a:p>
                    <a:fld id="{718AB18E-ADBF-2640-8592-5BA79C0029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0899425898362746"/>
                      <c:h val="9.244186917492267E-2"/>
                    </c:manualLayout>
                  </c15:layout>
                  <c15:dlblFieldTable/>
                  <c15:showDataLabelsRange val="1"/>
                </c:ext>
                <c:ext xmlns:c16="http://schemas.microsoft.com/office/drawing/2014/chart" uri="{C3380CC4-5D6E-409C-BE32-E72D297353CC}">
                  <c16:uniqueId val="{00000007-7A85-4439-AF5A-FDA8C4B1A1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'Results Dashboard'!$X$46:$Y$46</c:f>
              <c:strCache>
                <c:ptCount val="2"/>
                <c:pt idx="0">
                  <c:v>Waste Heat Recovery (Heat Pump)</c:v>
                </c:pt>
                <c:pt idx="1">
                  <c:v>Evaporative Condenser</c:v>
                </c:pt>
              </c:strCache>
            </c:strRef>
          </c:cat>
          <c:val>
            <c:numRef>
              <c:f>'Results Dashboard'!$X$49:$Y$49</c:f>
              <c:numCache>
                <c:formatCode>#,##0.0\ "million tons CO2-e"</c:formatCode>
                <c:ptCount val="2"/>
                <c:pt idx="0">
                  <c:v>-8.6778667774861944</c:v>
                </c:pt>
                <c:pt idx="1">
                  <c:v>2.4202735003366289</c:v>
                </c:pt>
              </c:numCache>
            </c:numRef>
          </c:val>
          <c:extLst>
            <c:ext xmlns:c15="http://schemas.microsoft.com/office/drawing/2012/chart" uri="{02D57815-91ED-43cb-92C2-25804820EDAC}">
              <c15:datalabelsRange>
                <c15:f>'Results Dashboard'!$Z$49:$AA$49</c15:f>
                <c15:dlblRangeCache>
                  <c:ptCount val="2"/>
                  <c:pt idx="1">
                    <c:v>Use Phase Emissions: 
2.4 million tons CO2-e</c:v>
                  </c:pt>
                </c15:dlblRangeCache>
              </c15:datalabelsRange>
            </c:ext>
            <c:ext xmlns:c16="http://schemas.microsoft.com/office/drawing/2014/chart" uri="{C3380CC4-5D6E-409C-BE32-E72D297353CC}">
              <c16:uniqueId val="{00000008-7A85-4439-AF5A-FDA8C4B1A149}"/>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min val="0"/>
        </c:scaling>
        <c:delete val="1"/>
        <c:axPos val="l"/>
        <c:numFmt formatCode="#,##0.0\ &quot;million tons CO2-e&quot;"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8.4141645158743745E-3"/>
          <c:y val="0.86283295483025668"/>
          <c:w val="0.47065345840455491"/>
          <c:h val="0.1217407979735138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1.7618947919991636E-4"/>
          <c:y val="3.5196736475108507E-2"/>
          <c:w val="0.99506225143342719"/>
          <c:h val="0.69725485897813844"/>
        </c:manualLayout>
      </c:layout>
      <c:barChart>
        <c:barDir val="col"/>
        <c:grouping val="stacked"/>
        <c:varyColors val="0"/>
        <c:ser>
          <c:idx val="0"/>
          <c:order val="0"/>
          <c:tx>
            <c:strRef>
              <c:f>'Results Dashboard'!$W$41</c:f>
              <c:strCache>
                <c:ptCount val="1"/>
                <c:pt idx="0">
                  <c:v>Raw Materials Emissions</c:v>
                </c:pt>
              </c:strCache>
            </c:strRef>
          </c:tx>
          <c:spPr>
            <a:solidFill>
              <a:schemeClr val="accent4">
                <a:shade val="58000"/>
              </a:schemeClr>
            </a:solidFill>
            <a:ln>
              <a:noFill/>
            </a:ln>
            <a:effectLst/>
          </c:spPr>
          <c:invertIfNegative val="0"/>
          <c:dLbls>
            <c:dLbl>
              <c:idx val="0"/>
              <c:tx>
                <c:rich>
                  <a:bodyPr/>
                  <a:lstStyle/>
                  <a:p>
                    <a:fld id="{779DF5AE-EC0B-1943-BBA9-8F9927AE46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1992776059571635"/>
                      <c:h val="9.244186917492267E-2"/>
                    </c:manualLayout>
                  </c15:layout>
                  <c15:dlblFieldTable/>
                  <c15:showDataLabelsRange val="1"/>
                </c:ext>
                <c:ext xmlns:c16="http://schemas.microsoft.com/office/drawing/2014/chart" uri="{C3380CC4-5D6E-409C-BE32-E72D297353CC}">
                  <c16:uniqueId val="{00000000-DE95-481C-86F7-4FF8812831B3}"/>
                </c:ext>
              </c:extLst>
            </c:dLbl>
            <c:dLbl>
              <c:idx val="1"/>
              <c:tx>
                <c:rich>
                  <a:bodyPr/>
                  <a:lstStyle/>
                  <a:p>
                    <a:fld id="{A9F69769-722C-C94A-92B9-B29D85FA84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37246387311071594"/>
                      <c:h val="9.244186917492267E-2"/>
                    </c:manualLayout>
                  </c15:layout>
                  <c15:dlblFieldTable/>
                  <c15:showDataLabelsRange val="1"/>
                </c:ext>
                <c:ext xmlns:c16="http://schemas.microsoft.com/office/drawing/2014/chart" uri="{C3380CC4-5D6E-409C-BE32-E72D297353CC}">
                  <c16:uniqueId val="{00000001-DE95-481C-86F7-4FF8812831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'Results Dashboard'!$X$40:$Y$40</c:f>
              <c:strCache>
                <c:ptCount val="2"/>
                <c:pt idx="0">
                  <c:v>Waste Heat Recovery (Heat Pump)</c:v>
                </c:pt>
                <c:pt idx="1">
                  <c:v>Evaporative Condenser</c:v>
                </c:pt>
              </c:strCache>
            </c:strRef>
          </c:cat>
          <c:val>
            <c:numRef>
              <c:f>'Results Dashboard'!$X$41:$Y$41</c:f>
              <c:numCache>
                <c:formatCode>#,##0\ "lbs CO2-e"</c:formatCode>
                <c:ptCount val="2"/>
                <c:pt idx="0">
                  <c:v>15.27594515568493</c:v>
                </c:pt>
                <c:pt idx="1">
                  <c:v>52.28331132981274</c:v>
                </c:pt>
              </c:numCache>
            </c:numRef>
          </c:val>
          <c:extLst>
            <c:ext xmlns:c15="http://schemas.microsoft.com/office/drawing/2012/chart" uri="{02D57815-91ED-43cb-92C2-25804820EDAC}">
              <c15:datalabelsRange>
                <c15:f>'Results Dashboard'!$Z$41:$AA$41</c15:f>
                <c15:dlblRangeCache>
                  <c:ptCount val="2"/>
                  <c:pt idx="0">
                    <c:v>Raw Materials Emissions: 
15 lbs CO2-e</c:v>
                  </c:pt>
                  <c:pt idx="1">
                    <c:v>Raw Materials Emissions: 
52 lbs CO2-e</c:v>
                  </c:pt>
                </c15:dlblRangeCache>
              </c15:datalabelsRange>
            </c:ext>
            <c:ext xmlns:c16="http://schemas.microsoft.com/office/drawing/2014/chart" uri="{C3380CC4-5D6E-409C-BE32-E72D297353CC}">
              <c16:uniqueId val="{00000002-DE95-481C-86F7-4FF8812831B3}"/>
            </c:ext>
          </c:extLst>
        </c:ser>
        <c:ser>
          <c:idx val="3"/>
          <c:order val="1"/>
          <c:tx>
            <c:strRef>
              <c:f>'Results Dashboard'!$W$42</c:f>
              <c:strCache>
                <c:ptCount val="1"/>
                <c:pt idx="0">
                  <c:v>Manufacturing Emissions</c:v>
                </c:pt>
              </c:strCache>
            </c:strRef>
          </c:tx>
          <c:spPr>
            <a:solidFill>
              <a:schemeClr val="accent4">
                <a:tint val="58000"/>
              </a:schemeClr>
            </a:solidFill>
            <a:ln>
              <a:noFill/>
            </a:ln>
            <a:effectLst/>
          </c:spPr>
          <c:invertIfNegative val="0"/>
          <c:dLbls>
            <c:dLbl>
              <c:idx val="0"/>
              <c:tx>
                <c:rich>
                  <a:bodyPr/>
                  <a:lstStyle/>
                  <a:p>
                    <a:fld id="{2D443B83-E100-FA48-A818-B1B4391F20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3183024314964719"/>
                      <c:h val="0.1206846499153581"/>
                    </c:manualLayout>
                  </c15:layout>
                  <c15:dlblFieldTable/>
                  <c15:showDataLabelsRange val="1"/>
                </c:ext>
                <c:ext xmlns:c16="http://schemas.microsoft.com/office/drawing/2014/chart" uri="{C3380CC4-5D6E-409C-BE32-E72D297353CC}">
                  <c16:uniqueId val="{00000003-DE95-481C-86F7-4FF8812831B3}"/>
                </c:ext>
              </c:extLst>
            </c:dLbl>
            <c:dLbl>
              <c:idx val="1"/>
              <c:tx>
                <c:rich>
                  <a:bodyPr/>
                  <a:lstStyle/>
                  <a:p>
                    <a:fld id="{1B7C5AE7-F81D-C746-9903-10E4AD9CC2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2745499842745327"/>
                      <c:h val="0.1206846499153581"/>
                    </c:manualLayout>
                  </c15:layout>
                  <c15:dlblFieldTable/>
                  <c15:showDataLabelsRange val="1"/>
                </c:ext>
                <c:ext xmlns:c16="http://schemas.microsoft.com/office/drawing/2014/chart" uri="{C3380CC4-5D6E-409C-BE32-E72D297353CC}">
                  <c16:uniqueId val="{00000004-DE95-481C-86F7-4FF8812831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'Results Dashboard'!$X$40:$Y$40</c:f>
              <c:strCache>
                <c:ptCount val="2"/>
                <c:pt idx="0">
                  <c:v>Waste Heat Recovery (Heat Pump)</c:v>
                </c:pt>
                <c:pt idx="1">
                  <c:v>Evaporative Condenser</c:v>
                </c:pt>
              </c:strCache>
            </c:strRef>
          </c:cat>
          <c:val>
            <c:numRef>
              <c:f>'Results Dashboard'!$X$42:$Y$42</c:f>
              <c:numCache>
                <c:formatCode>#,##0\ "lbs CO2-e"</c:formatCode>
                <c:ptCount val="2"/>
                <c:pt idx="0">
                  <c:v>66.192010086775895</c:v>
                </c:pt>
                <c:pt idx="1">
                  <c:v>42.05135495112755</c:v>
                </c:pt>
              </c:numCache>
            </c:numRef>
          </c:val>
          <c:extLst>
            <c:ext xmlns:c15="http://schemas.microsoft.com/office/drawing/2012/chart" uri="{02D57815-91ED-43cb-92C2-25804820EDAC}">
              <c15:datalabelsRange>
                <c15:f>'Results Dashboard'!$Z$42:$AA$42</c15:f>
                <c15:dlblRangeCache>
                  <c:ptCount val="2"/>
                  <c:pt idx="0">
                    <c:v>Manufacturing Emissions: 
66 lbs CO2-e</c:v>
                  </c:pt>
                  <c:pt idx="1">
                    <c:v>Manufacturing Emissions: 
42 lbs CO2-e</c:v>
                  </c:pt>
                </c15:dlblRangeCache>
              </c15:datalabelsRange>
            </c:ext>
            <c:ext xmlns:c16="http://schemas.microsoft.com/office/drawing/2014/chart" uri="{C3380CC4-5D6E-409C-BE32-E72D297353CC}">
              <c16:uniqueId val="{00000005-DE95-481C-86F7-4FF8812831B3}"/>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scaling>
        <c:delete val="1"/>
        <c:axPos val="l"/>
        <c:numFmt formatCode="#,##0\ &quot;lbs CO2-e&quot;"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1.2065199454697143E-2"/>
          <c:y val="0.90000921451549776"/>
          <c:w val="0.46507839637580334"/>
          <c:h val="9.5010215946338628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618947919991636E-4"/>
          <c:y val="3.5196736475108507E-2"/>
          <c:w val="0.99506225143342719"/>
          <c:h val="0.69725485897813844"/>
        </c:manualLayout>
      </c:layout>
      <c:barChart>
        <c:barDir val="col"/>
        <c:grouping val="stacked"/>
        <c:varyColors val="0"/>
        <c:ser>
          <c:idx val="0"/>
          <c:order val="0"/>
          <c:tx>
            <c:strRef>
              <c:f>'Rapid Results Dashboard'!$W$7</c:f>
              <c:strCache>
                <c:ptCount val="1"/>
                <c:pt idx="0">
                  <c:v>CapEx</c:v>
                </c:pt>
              </c:strCache>
            </c:strRef>
          </c:tx>
          <c:spPr>
            <a:solidFill>
              <a:schemeClr val="accent1"/>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BDE690A8-FFD5-4D44-AA90-108DAA28249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033537521558701"/>
                      <c:h val="7.151875611748057E-2"/>
                    </c:manualLayout>
                  </c15:layout>
                  <c15:dlblFieldTable/>
                  <c15:showDataLabelsRange val="1"/>
                </c:ext>
                <c:ext xmlns:c16="http://schemas.microsoft.com/office/drawing/2014/chart" uri="{C3380CC4-5D6E-409C-BE32-E72D297353CC}">
                  <c16:uniqueId val="{00000000-E36C-4D22-BA2D-A19A819E3C2B}"/>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07EA5A0B-EEE5-6941-B8F8-C9E69CDE08E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5183902912079307"/>
                      <c:h val="6.4449722882026925E-2"/>
                    </c:manualLayout>
                  </c15:layout>
                  <c15:dlblFieldTable/>
                  <c15:showDataLabelsRange val="1"/>
                </c:ext>
                <c:ext xmlns:c16="http://schemas.microsoft.com/office/drawing/2014/chart" uri="{C3380CC4-5D6E-409C-BE32-E72D297353CC}">
                  <c16:uniqueId val="{00000001-E36C-4D22-BA2D-A19A819E3C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'Rapid Results Dashboard'!$X$6:$Y$6</c:f>
              <c:numCache>
                <c:formatCode>General</c:formatCode>
                <c:ptCount val="2"/>
                <c:pt idx="0">
                  <c:v>0</c:v>
                </c:pt>
                <c:pt idx="1">
                  <c:v>0</c:v>
                </c:pt>
              </c:numCache>
            </c:numRef>
          </c:cat>
          <c:val>
            <c:numRef>
              <c:f>'Rapid Results Dashboard'!$X$7:$Y$7</c:f>
              <c:numCache>
                <c:formatCode>"$"#,##0.00</c:formatCode>
                <c:ptCount val="2"/>
                <c:pt idx="0">
                  <c:v>0</c:v>
                </c:pt>
                <c:pt idx="1">
                  <c:v>0</c:v>
                </c:pt>
              </c:numCache>
            </c:numRef>
          </c:val>
          <c:extLst>
            <c:ext xmlns:c15="http://schemas.microsoft.com/office/drawing/2012/chart" uri="{02D57815-91ED-43cb-92C2-25804820EDAC}">
              <c15:datalabelsRange>
                <c15:f>'Rapid Results Dashboard'!$Z$7:$AA$7</c15:f>
                <c15:dlblRangeCache>
                  <c:ptCount val="2"/>
                </c15:dlblRangeCache>
              </c15:datalabelsRange>
            </c:ext>
            <c:ext xmlns:c16="http://schemas.microsoft.com/office/drawing/2014/chart" uri="{C3380CC4-5D6E-409C-BE32-E72D297353CC}">
              <c16:uniqueId val="{00000002-E36C-4D22-BA2D-A19A819E3C2B}"/>
            </c:ext>
          </c:extLst>
        </c:ser>
        <c:ser>
          <c:idx val="1"/>
          <c:order val="1"/>
          <c:tx>
            <c:strRef>
              <c:f>'Rapid Results Dashboard'!$W$8</c:f>
              <c:strCache>
                <c:ptCount val="1"/>
                <c:pt idx="0">
                  <c:v>Raw Materials</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0CA10E8A-8DFB-474A-B8EB-96ACA13023C0}"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3274657344372469"/>
                      <c:h val="7.647589098150015E-2"/>
                    </c:manualLayout>
                  </c15:layout>
                  <c15:dlblFieldTable/>
                  <c15:showDataLabelsRange val="1"/>
                </c:ext>
                <c:ext xmlns:c16="http://schemas.microsoft.com/office/drawing/2014/chart" uri="{C3380CC4-5D6E-409C-BE32-E72D297353CC}">
                  <c16:uniqueId val="{00000003-E36C-4D22-BA2D-A19A819E3C2B}"/>
                </c:ext>
              </c:extLst>
            </c:dLbl>
            <c:dLbl>
              <c:idx val="1"/>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5E3781A1-6C64-E441-BB26-79CA609482A8}"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1883020522346703"/>
                      <c:h val="8.5856051940059255E-2"/>
                    </c:manualLayout>
                  </c15:layout>
                  <c15:dlblFieldTable/>
                  <c15:showDataLabelsRange val="1"/>
                </c:ext>
                <c:ext xmlns:c16="http://schemas.microsoft.com/office/drawing/2014/chart" uri="{C3380CC4-5D6E-409C-BE32-E72D297353CC}">
                  <c16:uniqueId val="{00000004-E36C-4D22-BA2D-A19A819E3C2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'Rapid Results Dashboard'!$X$8:$Y$8</c:f>
              <c:numCache>
                <c:formatCode>"$"#,##0.00</c:formatCode>
                <c:ptCount val="2"/>
                <c:pt idx="0">
                  <c:v>0</c:v>
                </c:pt>
                <c:pt idx="1">
                  <c:v>0</c:v>
                </c:pt>
              </c:numCache>
            </c:numRef>
          </c:val>
          <c:extLst>
            <c:ext xmlns:c15="http://schemas.microsoft.com/office/drawing/2012/chart" uri="{02D57815-91ED-43cb-92C2-25804820EDAC}">
              <c15:datalabelsRange>
                <c15:f>'Rapid Results Dashboard'!$Z$8:$AA$8</c15:f>
                <c15:dlblRangeCache>
                  <c:ptCount val="2"/>
                </c15:dlblRangeCache>
              </c15:datalabelsRange>
            </c:ext>
            <c:ext xmlns:c16="http://schemas.microsoft.com/office/drawing/2014/chart" uri="{C3380CC4-5D6E-409C-BE32-E72D297353CC}">
              <c16:uniqueId val="{00000005-E36C-4D22-BA2D-A19A819E3C2B}"/>
            </c:ext>
          </c:extLst>
        </c:ser>
        <c:ser>
          <c:idx val="2"/>
          <c:order val="2"/>
          <c:tx>
            <c:strRef>
              <c:f>'Rapid Results Dashboard'!$W$9</c:f>
              <c:strCache>
                <c:ptCount val="1"/>
                <c:pt idx="0">
                  <c:v>Energy</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24CB9E05-4C88-9041-A224-9379ED3125A1}" type="CELLRANGE">
                      <a:rPr lang="en-US" baseline="0"/>
                      <a:pPr>
                        <a:defRPr sz="1000"/>
                      </a:pPr>
                      <a:t>[CELLRANGE]</a:t>
                    </a:fld>
                    <a:r>
                      <a:rPr lang="en-US" baseline="0"/>
                      <a:t>, </a:t>
                    </a:r>
                    <a:fld id="{07E7ACBD-89D3-B448-9B03-384C0E155E14}" type="SERIESNAME">
                      <a:rPr lang="en-US" baseline="0"/>
                      <a:pPr>
                        <a:defRPr sz="1000"/>
                      </a:pPr>
                      <a:t>[SERIES NAME]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36C-4D22-BA2D-A19A819E3C2B}"/>
                </c:ext>
              </c:extLst>
            </c:dLbl>
            <c:dLbl>
              <c:idx val="1"/>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932F69E8-BD9F-E345-BEF1-A2FD3046D230}" type="CELLRANGE">
                      <a:rPr lang="en-US" baseline="0"/>
                      <a:pPr>
                        <a:defRPr sz="1000"/>
                      </a:pPr>
                      <a:t>[CELLRANGE]</a:t>
                    </a:fld>
                    <a:r>
                      <a:rPr lang="en-US" baseline="0"/>
                      <a:t>, </a:t>
                    </a:r>
                    <a:fld id="{EE0D01FB-8A2F-054B-9931-68B362FDCCBE}" type="SERIESNAME">
                      <a:rPr lang="en-US" baseline="0"/>
                      <a:pPr>
                        <a:defRPr sz="1000"/>
                      </a:pPr>
                      <a:t>[SERIES NAME]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36C-4D22-BA2D-A19A819E3C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'Rapid Results Dashboard'!$X$10:$Y$10</c:f>
              <c:numCache>
                <c:formatCode>"$"#,##0.00</c:formatCode>
                <c:ptCount val="2"/>
                <c:pt idx="0">
                  <c:v>0</c:v>
                </c:pt>
                <c:pt idx="1">
                  <c:v>0</c:v>
                </c:pt>
              </c:numCache>
            </c:numRef>
          </c:val>
          <c:extLst>
            <c:ext xmlns:c15="http://schemas.microsoft.com/office/drawing/2012/chart" uri="{02D57815-91ED-43cb-92C2-25804820EDAC}">
              <c15:datalabelsRange>
                <c15:f>'Rapid Results Dashboard'!$Z$10:$AA$10</c15:f>
                <c15:dlblRangeCache>
                  <c:ptCount val="2"/>
                </c15:dlblRangeCache>
              </c15:datalabelsRange>
            </c:ext>
            <c:ext xmlns:c16="http://schemas.microsoft.com/office/drawing/2014/chart" uri="{C3380CC4-5D6E-409C-BE32-E72D297353CC}">
              <c16:uniqueId val="{00000008-E36C-4D22-BA2D-A19A819E3C2B}"/>
            </c:ext>
          </c:extLst>
        </c:ser>
        <c:ser>
          <c:idx val="3"/>
          <c:order val="3"/>
          <c:tx>
            <c:strRef>
              <c:f>'Rapid Results Dashboard'!$W$10</c:f>
              <c:strCache>
                <c:ptCount val="1"/>
                <c:pt idx="0">
                  <c:v>Labor</c:v>
                </c:pt>
              </c:strCache>
            </c:strRef>
          </c:tx>
          <c:spPr>
            <a:solidFill>
              <a:schemeClr val="accent4"/>
            </a:solidFill>
            <a:ln>
              <a:noFill/>
            </a:ln>
            <a:effectLst/>
          </c:spPr>
          <c:invertIfNegative val="0"/>
          <c:dLbls>
            <c:dLbl>
              <c:idx val="0"/>
              <c:tx>
                <c:rich>
                  <a:bodyPr/>
                  <a:lstStyle/>
                  <a:p>
                    <a:fld id="{5971EEEF-58A6-8248-9579-F64ACCA5BC1D}" type="CELLRANGE">
                      <a:rPr lang="en-US" baseline="0"/>
                      <a:pPr/>
                      <a:t>[CELLRANGE]</a:t>
                    </a:fld>
                    <a:r>
                      <a:rPr lang="en-US" baseline="0"/>
                      <a:t>, </a:t>
                    </a:r>
                    <a:fld id="{924A4969-D7E2-2645-9311-5E47978023E9}" type="SERIESNAME">
                      <a:rPr lang="en-US" baseline="0"/>
                      <a:pPr/>
                      <a:t>[SERIES NAME]</a:t>
                    </a:fld>
                    <a:endParaRPr lang="en-US" baseline="0"/>
                  </a:p>
                </c:rich>
              </c:tx>
              <c:showLegendKey val="0"/>
              <c:showVal val="0"/>
              <c:showCatName val="0"/>
              <c:showSerName val="1"/>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36C-4D22-BA2D-A19A819E3C2B}"/>
                </c:ext>
              </c:extLst>
            </c:dLbl>
            <c:dLbl>
              <c:idx val="1"/>
              <c:tx>
                <c:rich>
                  <a:bodyPr/>
                  <a:lstStyle/>
                  <a:p>
                    <a:fld id="{367CB0DA-453A-3F4D-975A-E5887CE47F05}" type="CELLRANGE">
                      <a:rPr lang="en-US"/>
                      <a:pPr/>
                      <a:t>[CELLRANGE]</a:t>
                    </a:fld>
                    <a:r>
                      <a:rPr lang="en-US" baseline="0"/>
                      <a:t>, </a:t>
                    </a:r>
                    <a:fld id="{5ABD59BA-91F3-9D41-9F85-CA50A7F0B5E7}" type="SERIESNAME">
                      <a:rPr lang="en-US" baseline="0"/>
                      <a:pPr/>
                      <a:t>[SERIES NAME]</a:t>
                    </a:fld>
                    <a:endParaRPr lang="en-US" baseline="0"/>
                  </a:p>
                </c:rich>
              </c:tx>
              <c:showLegendKey val="0"/>
              <c:showVal val="0"/>
              <c:showCatName val="0"/>
              <c:showSerName val="1"/>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36C-4D22-BA2D-A19A819E3C2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'Rapid Results Dashboard'!$X$10:$Y$10</c:f>
              <c:numCache>
                <c:formatCode>"$"#,##0.00</c:formatCode>
                <c:ptCount val="2"/>
                <c:pt idx="0">
                  <c:v>0</c:v>
                </c:pt>
                <c:pt idx="1">
                  <c:v>0</c:v>
                </c:pt>
              </c:numCache>
            </c:numRef>
          </c:val>
          <c:extLst>
            <c:ext xmlns:c15="http://schemas.microsoft.com/office/drawing/2012/chart" uri="{02D57815-91ED-43cb-92C2-25804820EDAC}">
              <c15:datalabelsRange>
                <c15:f>'Rapid Results Dashboard'!$Z$10:$AA$10</c15:f>
                <c15:dlblRangeCache>
                  <c:ptCount val="2"/>
                </c15:dlblRangeCache>
              </c15:datalabelsRange>
            </c:ext>
            <c:ext xmlns:c16="http://schemas.microsoft.com/office/drawing/2014/chart" uri="{C3380CC4-5D6E-409C-BE32-E72D297353CC}">
              <c16:uniqueId val="{0000000B-E36C-4D22-BA2D-A19A819E3C2B}"/>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scaling>
        <c:delete val="1"/>
        <c:axPos val="l"/>
        <c:numFmt formatCode="&quot;$&quot;#,##0.00" sourceLinked="1"/>
        <c:majorTickMark val="none"/>
        <c:minorTickMark val="none"/>
        <c:tickLblPos val="nextTo"/>
        <c:crossAx val="652213263"/>
        <c:crosses val="autoZero"/>
        <c:crossBetween val="between"/>
      </c:valAx>
      <c:spPr>
        <a:noFill/>
        <a:ln>
          <a:noFill/>
        </a:ln>
        <a:effectLst/>
      </c:spPr>
    </c:plotArea>
    <c:legend>
      <c:legendPos val="r"/>
      <c:layout>
        <c:manualLayout>
          <c:xMode val="edge"/>
          <c:yMode val="edge"/>
          <c:x val="8.4141165390035095E-3"/>
          <c:y val="0.82419551634265953"/>
          <c:w val="0.38808723836755527"/>
          <c:h val="0.168253001021067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1.7618947919991636E-4"/>
          <c:y val="3.5196736475108507E-2"/>
          <c:w val="0.99506225143342719"/>
          <c:h val="0.69725485897813844"/>
        </c:manualLayout>
      </c:layout>
      <c:barChart>
        <c:barDir val="col"/>
        <c:grouping val="stacked"/>
        <c:varyColors val="0"/>
        <c:ser>
          <c:idx val="0"/>
          <c:order val="0"/>
          <c:tx>
            <c:strRef>
              <c:f>'Rapid Results Dashboard'!$W$25</c:f>
              <c:strCache>
                <c:ptCount val="1"/>
                <c:pt idx="0">
                  <c:v>Raw Materials</c:v>
                </c:pt>
              </c:strCache>
            </c:strRef>
          </c:tx>
          <c:spPr>
            <a:solidFill>
              <a:schemeClr val="accent6">
                <a:tint val="58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2CCF5608-A4AE-9F44-B276-39AEC43275DD}"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4225598137844097"/>
                      <c:h val="0.11834798242311939"/>
                    </c:manualLayout>
                  </c15:layout>
                  <c15:dlblFieldTable/>
                  <c15:showDataLabelsRange val="1"/>
                </c:ext>
                <c:ext xmlns:c16="http://schemas.microsoft.com/office/drawing/2014/chart" uri="{C3380CC4-5D6E-409C-BE32-E72D297353CC}">
                  <c16:uniqueId val="{00000000-09AC-4E34-8F84-55BE892B6509}"/>
                </c:ext>
              </c:extLst>
            </c:dLbl>
            <c:dLbl>
              <c:idx val="1"/>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24AF02C6-FD28-AB44-B9F4-13E8A356876F}"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322018152179919"/>
                      <c:h val="8.2311359493213984E-2"/>
                    </c:manualLayout>
                  </c15:layout>
                  <c15:dlblFieldTable/>
                  <c15:showDataLabelsRange val="1"/>
                </c:ext>
                <c:ext xmlns:c16="http://schemas.microsoft.com/office/drawing/2014/chart" uri="{C3380CC4-5D6E-409C-BE32-E72D297353CC}">
                  <c16:uniqueId val="{00000001-09AC-4E34-8F84-55BE892B650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'Rapid Results Dashboard'!$X$24:$Y$24</c:f>
              <c:numCache>
                <c:formatCode>General</c:formatCode>
                <c:ptCount val="2"/>
                <c:pt idx="0">
                  <c:v>0</c:v>
                </c:pt>
                <c:pt idx="1">
                  <c:v>0</c:v>
                </c:pt>
              </c:numCache>
            </c:numRef>
          </c:cat>
          <c:val>
            <c:numRef>
              <c:f>'Rapid Results Dashboard'!$X$25:$Y$25</c:f>
              <c:numCache>
                <c:formatCode>#,##0.0\ "MMBtu"</c:formatCode>
                <c:ptCount val="2"/>
                <c:pt idx="0">
                  <c:v>0</c:v>
                </c:pt>
                <c:pt idx="1">
                  <c:v>0</c:v>
                </c:pt>
              </c:numCache>
            </c:numRef>
          </c:val>
          <c:extLst>
            <c:ext xmlns:c15="http://schemas.microsoft.com/office/drawing/2012/chart" uri="{02D57815-91ED-43cb-92C2-25804820EDAC}">
              <c15:datalabelsRange>
                <c15:f>'Rapid Results Dashboard'!$Z$25:$AA$25</c15:f>
                <c15:dlblRangeCache>
                  <c:ptCount val="2"/>
                </c15:dlblRangeCache>
              </c15:datalabelsRange>
            </c:ext>
            <c:ext xmlns:c16="http://schemas.microsoft.com/office/drawing/2014/chart" uri="{C3380CC4-5D6E-409C-BE32-E72D297353CC}">
              <c16:uniqueId val="{00000002-09AC-4E34-8F84-55BE892B6509}"/>
            </c:ext>
          </c:extLst>
        </c:ser>
        <c:ser>
          <c:idx val="3"/>
          <c:order val="1"/>
          <c:tx>
            <c:strRef>
              <c:f>'Rapid Results Dashboard'!$W$26</c:f>
              <c:strCache>
                <c:ptCount val="1"/>
                <c:pt idx="0">
                  <c:v>Manufacturing</c:v>
                </c:pt>
              </c:strCache>
            </c:strRef>
          </c:tx>
          <c:spPr>
            <a:solidFill>
              <a:schemeClr val="accent6">
                <a:shade val="58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AFAA9879-600C-2043-A839-93AE27F7AA76}"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1048614180987641"/>
                      <c:h val="7.7197874061892297E-2"/>
                    </c:manualLayout>
                  </c15:layout>
                  <c15:dlblFieldTable/>
                  <c15:showDataLabelsRange val="1"/>
                </c:ext>
                <c:ext xmlns:c16="http://schemas.microsoft.com/office/drawing/2014/chart" uri="{C3380CC4-5D6E-409C-BE32-E72D297353CC}">
                  <c16:uniqueId val="{00000003-09AC-4E34-8F84-55BE892B6509}"/>
                </c:ext>
              </c:extLst>
            </c:dLbl>
            <c:dLbl>
              <c:idx val="1"/>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22355235-CB7A-2946-8ADC-2BF16CCDA22A}"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510974220620912"/>
                      <c:h val="8.4918704798694344E-2"/>
                    </c:manualLayout>
                  </c15:layout>
                  <c15:dlblFieldTable/>
                  <c15:showDataLabelsRange val="1"/>
                </c:ext>
                <c:ext xmlns:c16="http://schemas.microsoft.com/office/drawing/2014/chart" uri="{C3380CC4-5D6E-409C-BE32-E72D297353CC}">
                  <c16:uniqueId val="{00000004-09AC-4E34-8F84-55BE892B650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'Rapid Results Dashboard'!$X$24:$Y$24</c:f>
              <c:numCache>
                <c:formatCode>General</c:formatCode>
                <c:ptCount val="2"/>
                <c:pt idx="0">
                  <c:v>0</c:v>
                </c:pt>
                <c:pt idx="1">
                  <c:v>0</c:v>
                </c:pt>
              </c:numCache>
            </c:numRef>
          </c:cat>
          <c:val>
            <c:numRef>
              <c:f>'Rapid Results Dashboard'!$X$26:$Y$26</c:f>
              <c:numCache>
                <c:formatCode>#,##0.0\ "MMBtu"</c:formatCode>
                <c:ptCount val="2"/>
                <c:pt idx="0">
                  <c:v>0</c:v>
                </c:pt>
                <c:pt idx="1">
                  <c:v>0</c:v>
                </c:pt>
              </c:numCache>
            </c:numRef>
          </c:val>
          <c:extLst>
            <c:ext xmlns:c15="http://schemas.microsoft.com/office/drawing/2012/chart" uri="{02D57815-91ED-43cb-92C2-25804820EDAC}">
              <c15:datalabelsRange>
                <c15:f>'Rapid Results Dashboard'!$Z$26:$AA$26</c15:f>
                <c15:dlblRangeCache>
                  <c:ptCount val="2"/>
                </c15:dlblRangeCache>
              </c15:datalabelsRange>
            </c:ext>
            <c:ext xmlns:c16="http://schemas.microsoft.com/office/drawing/2014/chart" uri="{C3380CC4-5D6E-409C-BE32-E72D297353CC}">
              <c16:uniqueId val="{00000005-09AC-4E34-8F84-55BE892B6509}"/>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scaling>
        <c:delete val="1"/>
        <c:axPos val="l"/>
        <c:numFmt formatCode="#,##0.0\ &quot;MMBtu&quot;"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1.2065199454697143E-2"/>
          <c:y val="0.9143153116202537"/>
          <c:w val="0.31897859784029248"/>
          <c:h val="8.0704157433526449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1.7618947919991636E-4"/>
          <c:y val="3.5196736475108507E-2"/>
          <c:w val="0.99506225143342719"/>
          <c:h val="0.69725485897813844"/>
        </c:manualLayout>
      </c:layout>
      <c:barChart>
        <c:barDir val="col"/>
        <c:grouping val="stacked"/>
        <c:varyColors val="0"/>
        <c:ser>
          <c:idx val="0"/>
          <c:order val="0"/>
          <c:tx>
            <c:strRef>
              <c:f>'Rapid Results Dashboard'!$W$32</c:f>
              <c:strCache>
                <c:ptCount val="1"/>
                <c:pt idx="0">
                  <c:v>Raw Materials</c:v>
                </c:pt>
              </c:strCache>
            </c:strRef>
          </c:tx>
          <c:spPr>
            <a:solidFill>
              <a:schemeClr val="accent6">
                <a:tint val="58000"/>
              </a:schemeClr>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fld id="{DFAAAB3B-7EFE-0F42-94E1-ED5CA15DBEB2}" type="CELLRANGE">
                      <a:rPr lang="en-US"/>
                      <a:pPr>
                        <a:defRPr sz="105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0664737380114069"/>
                      <c:h val="0.13974175518657647"/>
                    </c:manualLayout>
                  </c15:layout>
                  <c15:dlblFieldTable/>
                  <c15:showDataLabelsRange val="1"/>
                </c:ext>
                <c:ext xmlns:c16="http://schemas.microsoft.com/office/drawing/2014/chart" uri="{C3380CC4-5D6E-409C-BE32-E72D297353CC}">
                  <c16:uniqueId val="{00000000-7347-4E7E-9560-C64B67B0C2E3}"/>
                </c:ext>
              </c:extLst>
            </c:dLbl>
            <c:dLbl>
              <c:idx val="1"/>
              <c:layout>
                <c:manualLayout>
                  <c:x val="3.6429192995512949E-17"/>
                  <c:y val="-4.8914763237747842E-2"/>
                </c:manualLayout>
              </c:layout>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ADFE915D-427B-4249-8A20-58B5503893ED}"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975275366649357"/>
                      <c:h val="9.4328259212162174E-2"/>
                    </c:manualLayout>
                  </c15:layout>
                  <c15:dlblFieldTable/>
                  <c15:showDataLabelsRange val="1"/>
                </c:ext>
                <c:ext xmlns:c16="http://schemas.microsoft.com/office/drawing/2014/chart" uri="{C3380CC4-5D6E-409C-BE32-E72D297353CC}">
                  <c16:uniqueId val="{00000001-7347-4E7E-9560-C64B67B0C2E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'Rapid Results Dashboard'!$X$31:$Y$31</c:f>
              <c:numCache>
                <c:formatCode>General</c:formatCode>
                <c:ptCount val="2"/>
                <c:pt idx="0">
                  <c:v>0</c:v>
                </c:pt>
                <c:pt idx="1">
                  <c:v>0</c:v>
                </c:pt>
              </c:numCache>
            </c:numRef>
          </c:cat>
          <c:val>
            <c:numRef>
              <c:f>'Rapid Results Dashboard'!$X$32:$Y$32</c:f>
              <c:numCache>
                <c:formatCode>#,##0\ "TBtu"</c:formatCode>
                <c:ptCount val="2"/>
                <c:pt idx="0">
                  <c:v>0</c:v>
                </c:pt>
                <c:pt idx="1">
                  <c:v>0</c:v>
                </c:pt>
              </c:numCache>
            </c:numRef>
          </c:val>
          <c:extLst>
            <c:ext xmlns:c15="http://schemas.microsoft.com/office/drawing/2012/chart" uri="{02D57815-91ED-43cb-92C2-25804820EDAC}">
              <c15:datalabelsRange>
                <c15:f>'Rapid Results Dashboard'!$Z$32:$AA$32</c15:f>
                <c15:dlblRangeCache>
                  <c:ptCount val="2"/>
                  <c:pt idx="0">
                    <c:v>#DIV/0!</c:v>
                  </c:pt>
                  <c:pt idx="1">
                    <c:v>#DIV/0!</c:v>
                  </c:pt>
                </c15:dlblRangeCache>
              </c15:datalabelsRange>
            </c:ext>
            <c:ext xmlns:c16="http://schemas.microsoft.com/office/drawing/2014/chart" uri="{C3380CC4-5D6E-409C-BE32-E72D297353CC}">
              <c16:uniqueId val="{00000002-7347-4E7E-9560-C64B67B0C2E3}"/>
            </c:ext>
          </c:extLst>
        </c:ser>
        <c:ser>
          <c:idx val="3"/>
          <c:order val="1"/>
          <c:tx>
            <c:strRef>
              <c:f>'Rapid Results Dashboard'!$W$33</c:f>
              <c:strCache>
                <c:ptCount val="1"/>
                <c:pt idx="0">
                  <c:v>Manufacturing</c:v>
                </c:pt>
              </c:strCache>
            </c:strRef>
          </c:tx>
          <c:spPr>
            <a:solidFill>
              <a:schemeClr val="accent6">
                <a:shade val="58000"/>
              </a:schemeClr>
            </a:solidFill>
            <a:ln>
              <a:noFill/>
            </a:ln>
            <a:effectLst/>
          </c:spPr>
          <c:invertIfNegative val="0"/>
          <c:dLbls>
            <c:dLbl>
              <c:idx val="0"/>
              <c:layout>
                <c:manualLayout>
                  <c:x val="-3.6559145356571216E-3"/>
                  <c:y val="-3.861691834559040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5A168441-6EC8-6B4A-B382-3832317A16D1}"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40681174602160214"/>
                      <c:h val="8.2267009738963823E-2"/>
                    </c:manualLayout>
                  </c15:layout>
                  <c15:dlblFieldTable/>
                  <c15:showDataLabelsRange val="1"/>
                </c:ext>
                <c:ext xmlns:c16="http://schemas.microsoft.com/office/drawing/2014/chart" uri="{C3380CC4-5D6E-409C-BE32-E72D297353CC}">
                  <c16:uniqueId val="{00000003-7347-4E7E-9560-C64B67B0C2E3}"/>
                </c:ext>
              </c:extLst>
            </c:dLbl>
            <c:dLbl>
              <c:idx val="1"/>
              <c:layout>
                <c:manualLayout>
                  <c:x val="1.8279572678284589E-3"/>
                  <c:y val="-3.8616918345590404E-2"/>
                </c:manualLayout>
              </c:layout>
              <c:tx>
                <c:rich>
                  <a:bodyPr/>
                  <a:lstStyle/>
                  <a:p>
                    <a:fld id="{4FF2A47F-9D17-9243-B051-F438E071454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layout>
                    <c:manualLayout>
                      <c:w val="0.42509131869988764"/>
                      <c:h val="9.2564854631121268E-2"/>
                    </c:manualLayout>
                  </c15:layout>
                  <c15:dlblFieldTable/>
                  <c15:showDataLabelsRange val="1"/>
                </c:ext>
                <c:ext xmlns:c16="http://schemas.microsoft.com/office/drawing/2014/chart" uri="{C3380CC4-5D6E-409C-BE32-E72D297353CC}">
                  <c16:uniqueId val="{00000004-7347-4E7E-9560-C64B67B0C2E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'Rapid Results Dashboard'!$X$31:$Y$31</c:f>
              <c:numCache>
                <c:formatCode>General</c:formatCode>
                <c:ptCount val="2"/>
                <c:pt idx="0">
                  <c:v>0</c:v>
                </c:pt>
                <c:pt idx="1">
                  <c:v>0</c:v>
                </c:pt>
              </c:numCache>
            </c:numRef>
          </c:cat>
          <c:val>
            <c:numRef>
              <c:f>'Rapid Results Dashboard'!$X$33:$Y$33</c:f>
              <c:numCache>
                <c:formatCode>#,##0\ "TBtu"</c:formatCode>
                <c:ptCount val="2"/>
                <c:pt idx="0">
                  <c:v>0</c:v>
                </c:pt>
                <c:pt idx="1">
                  <c:v>0</c:v>
                </c:pt>
              </c:numCache>
            </c:numRef>
          </c:val>
          <c:extLst>
            <c:ext xmlns:c15="http://schemas.microsoft.com/office/drawing/2012/chart" uri="{02D57815-91ED-43cb-92C2-25804820EDAC}">
              <c15:datalabelsRange>
                <c15:f>'Rapid Results Dashboard'!$Z$33:$AA$33</c15:f>
                <c15:dlblRangeCache>
                  <c:ptCount val="2"/>
                  <c:pt idx="0">
                    <c:v>#DIV/0!</c:v>
                  </c:pt>
                  <c:pt idx="1">
                    <c:v>#DIV/0!</c:v>
                  </c:pt>
                </c15:dlblRangeCache>
              </c15:datalabelsRange>
            </c:ext>
            <c:ext xmlns:c16="http://schemas.microsoft.com/office/drawing/2014/chart" uri="{C3380CC4-5D6E-409C-BE32-E72D297353CC}">
              <c16:uniqueId val="{00000005-7347-4E7E-9560-C64B67B0C2E3}"/>
            </c:ext>
          </c:extLst>
        </c:ser>
        <c:ser>
          <c:idx val="1"/>
          <c:order val="2"/>
          <c:tx>
            <c:strRef>
              <c:f>'Rapid Results Dashboard'!$W$34</c:f>
              <c:strCache>
                <c:ptCount val="1"/>
                <c:pt idx="0">
                  <c:v>Use Phase</c:v>
                </c:pt>
              </c:strCache>
            </c:strRef>
          </c:tx>
          <c:spPr>
            <a:solidFill>
              <a:schemeClr val="accent6">
                <a:tint val="86000"/>
              </a:schemeClr>
            </a:solidFill>
            <a:ln>
              <a:noFill/>
            </a:ln>
            <a:effectLst/>
          </c:spPr>
          <c:invertIfNegative val="0"/>
          <c:dLbls>
            <c:dLbl>
              <c:idx val="0"/>
              <c:tx>
                <c:rich>
                  <a:bodyPr/>
                  <a:lstStyle/>
                  <a:p>
                    <a:fld id="{75E96DEE-A175-C04B-B7DA-663A127DFA6C}"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manualLayout>
                      <c:w val="0.40498378875377355"/>
                      <c:h val="9.2564854631121268E-2"/>
                    </c:manualLayout>
                  </c15:layout>
                  <c15:dlblFieldTable/>
                  <c15:showDataLabelsRange val="1"/>
                </c:ext>
                <c:ext xmlns:c16="http://schemas.microsoft.com/office/drawing/2014/chart" uri="{C3380CC4-5D6E-409C-BE32-E72D297353CC}">
                  <c16:uniqueId val="{00000006-7347-4E7E-9560-C64B67B0C2E3}"/>
                </c:ext>
              </c:extLst>
            </c:dLbl>
            <c:dLbl>
              <c:idx val="1"/>
              <c:tx>
                <c:rich>
                  <a:bodyPr/>
                  <a:lstStyle/>
                  <a:p>
                    <a:fld id="{6FA1475B-CCA7-1740-968B-9709067A0F2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manualLayout>
                      <c:w val="0.41097948859225125"/>
                      <c:h val="9.2564854631121268E-2"/>
                    </c:manualLayout>
                  </c15:layout>
                  <c15:dlblFieldTable/>
                  <c15:showDataLabelsRange val="1"/>
                </c:ext>
                <c:ext xmlns:c16="http://schemas.microsoft.com/office/drawing/2014/chart" uri="{C3380CC4-5D6E-409C-BE32-E72D297353CC}">
                  <c16:uniqueId val="{00000007-7347-4E7E-9560-C64B67B0C2E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'Rapid Results Dashboard'!$X$31:$Y$31</c:f>
              <c:numCache>
                <c:formatCode>General</c:formatCode>
                <c:ptCount val="2"/>
                <c:pt idx="0">
                  <c:v>0</c:v>
                </c:pt>
                <c:pt idx="1">
                  <c:v>0</c:v>
                </c:pt>
              </c:numCache>
            </c:numRef>
          </c:cat>
          <c:val>
            <c:numRef>
              <c:f>'Rapid Results Dashboard'!$X$34:$Y$34</c:f>
              <c:numCache>
                <c:formatCode>#,##0\ "TBtu"</c:formatCode>
                <c:ptCount val="2"/>
                <c:pt idx="0">
                  <c:v>0</c:v>
                </c:pt>
                <c:pt idx="1">
                  <c:v>0</c:v>
                </c:pt>
              </c:numCache>
            </c:numRef>
          </c:val>
          <c:extLst>
            <c:ext xmlns:c15="http://schemas.microsoft.com/office/drawing/2012/chart" uri="{02D57815-91ED-43cb-92C2-25804820EDAC}">
              <c15:datalabelsRange>
                <c15:f>'Rapid Results Dashboard'!$Z$34:$AA$34</c15:f>
                <c15:dlblRangeCache>
                  <c:ptCount val="2"/>
                  <c:pt idx="0">
                    <c:v>#DIV/0!</c:v>
                  </c:pt>
                  <c:pt idx="1">
                    <c:v>#DIV/0!</c:v>
                  </c:pt>
                </c15:dlblRangeCache>
              </c15:datalabelsRange>
            </c:ext>
            <c:ext xmlns:c16="http://schemas.microsoft.com/office/drawing/2014/chart" uri="{C3380CC4-5D6E-409C-BE32-E72D297353CC}">
              <c16:uniqueId val="{00000008-7347-4E7E-9560-C64B67B0C2E3}"/>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min val="0"/>
        </c:scaling>
        <c:delete val="1"/>
        <c:axPos val="l"/>
        <c:numFmt formatCode="#,##0\ &quot;TBtu&quot;"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8.4141645158743745E-3"/>
          <c:y val="0.86797503620713623"/>
          <c:w val="0.33518246728289097"/>
          <c:h val="0.1217407979735138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618947919991636E-4"/>
          <c:y val="3.5196736475108507E-2"/>
          <c:w val="0.99506225143342719"/>
          <c:h val="0.69725485897813844"/>
        </c:manualLayout>
      </c:layout>
      <c:barChart>
        <c:barDir val="col"/>
        <c:grouping val="stacked"/>
        <c:varyColors val="0"/>
        <c:ser>
          <c:idx val="1"/>
          <c:order val="0"/>
          <c:tx>
            <c:strRef>
              <c:f>'Rapid Results Dashboard'!$W$17</c:f>
              <c:strCache>
                <c:ptCount val="1"/>
                <c:pt idx="0">
                  <c:v>Raw Materials</c:v>
                </c:pt>
              </c:strCache>
            </c:strRef>
          </c:tx>
          <c:spPr>
            <a:solidFill>
              <a:schemeClr val="accent2"/>
            </a:solidFill>
            <a:ln>
              <a:noFill/>
            </a:ln>
            <a:effectLst/>
          </c:spPr>
          <c:invertIfNegative val="0"/>
          <c:dLbls>
            <c:dLbl>
              <c:idx val="0"/>
              <c:tx>
                <c:rich>
                  <a:bodyPr/>
                  <a:lstStyle/>
                  <a:p>
                    <a:fld id="{3B4781C3-CFFE-5A49-8FBA-1C39C4C27F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4240221795986723"/>
                      <c:h val="9.2564854631121268E-2"/>
                    </c:manualLayout>
                  </c15:layout>
                  <c15:dlblFieldTable/>
                  <c15:showDataLabelsRange val="1"/>
                </c:ext>
                <c:ext xmlns:c16="http://schemas.microsoft.com/office/drawing/2014/chart" uri="{C3380CC4-5D6E-409C-BE32-E72D297353CC}">
                  <c16:uniqueId val="{00000000-8F90-4137-A695-9DB1130982FA}"/>
                </c:ext>
              </c:extLst>
            </c:dLbl>
            <c:dLbl>
              <c:idx val="1"/>
              <c:tx>
                <c:rich>
                  <a:bodyPr/>
                  <a:lstStyle/>
                  <a:p>
                    <a:fld id="{EC9561B3-97CE-0940-B406-208B8F307A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1960082594881776"/>
                      <c:h val="9.2564854631121268E-2"/>
                    </c:manualLayout>
                  </c15:layout>
                  <c15:dlblFieldTable/>
                  <c15:showDataLabelsRange val="1"/>
                </c:ext>
                <c:ext xmlns:c16="http://schemas.microsoft.com/office/drawing/2014/chart" uri="{C3380CC4-5D6E-409C-BE32-E72D297353CC}">
                  <c16:uniqueId val="{00000001-8F90-4137-A695-9DB1130982F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'Rapid Results Dashboard'!$X$17:$Y$17</c:f>
              <c:numCache>
                <c:formatCode>"$"#,##0</c:formatCode>
                <c:ptCount val="2"/>
                <c:pt idx="0">
                  <c:v>0</c:v>
                </c:pt>
                <c:pt idx="1">
                  <c:v>0</c:v>
                </c:pt>
              </c:numCache>
            </c:numRef>
          </c:val>
          <c:extLst>
            <c:ext xmlns:c15="http://schemas.microsoft.com/office/drawing/2012/chart" uri="{02D57815-91ED-43cb-92C2-25804820EDAC}">
              <c15:datalabelsRange>
                <c15:f>'Rapid Results Dashboard'!$Z$17:$AA$17</c15:f>
                <c15:dlblRangeCache>
                  <c:ptCount val="2"/>
                  <c:pt idx="0">
                    <c:v>#DIV/0!</c:v>
                  </c:pt>
                  <c:pt idx="1">
                    <c:v>#DIV/0!</c:v>
                  </c:pt>
                </c15:dlblRangeCache>
              </c15:datalabelsRange>
            </c:ext>
            <c:ext xmlns:c16="http://schemas.microsoft.com/office/drawing/2014/chart" uri="{C3380CC4-5D6E-409C-BE32-E72D297353CC}">
              <c16:uniqueId val="{00000002-8F90-4137-A695-9DB1130982FA}"/>
            </c:ext>
          </c:extLst>
        </c:ser>
        <c:ser>
          <c:idx val="0"/>
          <c:order val="1"/>
          <c:tx>
            <c:strRef>
              <c:f>'Rapid Results Dashboard'!$W$16</c:f>
              <c:strCache>
                <c:ptCount val="1"/>
                <c:pt idx="0">
                  <c:v>CapEx</c:v>
                </c:pt>
              </c:strCache>
            </c:strRef>
          </c:tx>
          <c:spPr>
            <a:solidFill>
              <a:schemeClr val="accent1"/>
            </a:solidFill>
            <a:ln>
              <a:noFill/>
            </a:ln>
            <a:effectLst/>
          </c:spPr>
          <c:invertIfNegative val="0"/>
          <c:dLbls>
            <c:dLbl>
              <c:idx val="0"/>
              <c:tx>
                <c:rich>
                  <a:bodyPr/>
                  <a:lstStyle/>
                  <a:p>
                    <a:fld id="{B0C6C37B-A8FD-C44C-8866-C0498A967A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37118500280526673"/>
                      <c:h val="6.4284296739292826E-2"/>
                    </c:manualLayout>
                  </c15:layout>
                  <c15:dlblFieldTable/>
                  <c15:showDataLabelsRange val="1"/>
                </c:ext>
                <c:ext xmlns:c16="http://schemas.microsoft.com/office/drawing/2014/chart" uri="{C3380CC4-5D6E-409C-BE32-E72D297353CC}">
                  <c16:uniqueId val="{00000003-8F90-4137-A695-9DB1130982FA}"/>
                </c:ext>
              </c:extLst>
            </c:dLbl>
            <c:dLbl>
              <c:idx val="1"/>
              <c:tx>
                <c:rich>
                  <a:bodyPr/>
                  <a:lstStyle/>
                  <a:p>
                    <a:fld id="{07F30C68-3E62-EB4B-B660-3D868C116E9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F90-4137-A695-9DB1130982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'Rapid Results Dashboard'!$X$6:$Y$6</c:f>
              <c:numCache>
                <c:formatCode>General</c:formatCode>
                <c:ptCount val="2"/>
                <c:pt idx="0">
                  <c:v>0</c:v>
                </c:pt>
                <c:pt idx="1">
                  <c:v>0</c:v>
                </c:pt>
              </c:numCache>
            </c:numRef>
          </c:cat>
          <c:val>
            <c:numRef>
              <c:f>'Rapid Results Dashboard'!$X$16:$Y$16</c:f>
              <c:numCache>
                <c:formatCode>"$"#,##0</c:formatCode>
                <c:ptCount val="2"/>
                <c:pt idx="0">
                  <c:v>0</c:v>
                </c:pt>
                <c:pt idx="1">
                  <c:v>0</c:v>
                </c:pt>
              </c:numCache>
            </c:numRef>
          </c:val>
          <c:extLst>
            <c:ext xmlns:c15="http://schemas.microsoft.com/office/drawing/2012/chart" uri="{02D57815-91ED-43cb-92C2-25804820EDAC}">
              <c15:datalabelsRange>
                <c15:f>'Rapid Results Dashboard'!$Z$16:$AA$16</c15:f>
                <c15:dlblRangeCache>
                  <c:ptCount val="2"/>
                  <c:pt idx="0">
                    <c:v>#DIV/0!</c:v>
                  </c:pt>
                  <c:pt idx="1">
                    <c:v>#DIV/0!</c:v>
                  </c:pt>
                </c15:dlblRangeCache>
              </c15:datalabelsRange>
            </c:ext>
            <c:ext xmlns:c16="http://schemas.microsoft.com/office/drawing/2014/chart" uri="{C3380CC4-5D6E-409C-BE32-E72D297353CC}">
              <c16:uniqueId val="{00000005-8F90-4137-A695-9DB1130982FA}"/>
            </c:ext>
          </c:extLst>
        </c:ser>
        <c:ser>
          <c:idx val="2"/>
          <c:order val="2"/>
          <c:tx>
            <c:strRef>
              <c:f>'Rapid Results Dashboard'!$W$18</c:f>
              <c:strCache>
                <c:ptCount val="1"/>
                <c:pt idx="0">
                  <c:v>Energy</c:v>
                </c:pt>
              </c:strCache>
            </c:strRef>
          </c:tx>
          <c:spPr>
            <a:solidFill>
              <a:schemeClr val="accent3"/>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08AABED1-CB9B-0844-93C0-0732D0EC4136}"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52908826960962"/>
                      <c:h val="7.4620859906536927E-2"/>
                    </c:manualLayout>
                  </c15:layout>
                  <c15:dlblFieldTable/>
                  <c15:showDataLabelsRange val="1"/>
                </c:ext>
                <c:ext xmlns:c16="http://schemas.microsoft.com/office/drawing/2014/chart" uri="{C3380CC4-5D6E-409C-BE32-E72D297353CC}">
                  <c16:uniqueId val="{00000006-8F90-4137-A695-9DB1130982FA}"/>
                </c:ext>
              </c:extLst>
            </c:dLbl>
            <c:dLbl>
              <c:idx val="1"/>
              <c:tx>
                <c:rich>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fld id="{B871DE14-5E53-0F4D-A16C-5134DBFBC9A6}" type="CELLRANGE">
                      <a:rPr lang="en-US"/>
                      <a:pPr>
                        <a:defRPr sz="1000"/>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234068057008086"/>
                      <c:h val="4.1152864007025239E-2"/>
                    </c:manualLayout>
                  </c15:layout>
                  <c15:dlblFieldTable/>
                  <c15:showDataLabelsRange val="1"/>
                </c:ext>
                <c:ext xmlns:c16="http://schemas.microsoft.com/office/drawing/2014/chart" uri="{C3380CC4-5D6E-409C-BE32-E72D297353CC}">
                  <c16:uniqueId val="{00000007-8F90-4137-A695-9DB1130982F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'Rapid Results Dashboard'!$X$18:$Y$18</c:f>
              <c:numCache>
                <c:formatCode>"$"#,##0</c:formatCode>
                <c:ptCount val="2"/>
                <c:pt idx="0">
                  <c:v>0</c:v>
                </c:pt>
                <c:pt idx="1">
                  <c:v>0</c:v>
                </c:pt>
              </c:numCache>
            </c:numRef>
          </c:val>
          <c:extLst>
            <c:ext xmlns:c15="http://schemas.microsoft.com/office/drawing/2012/chart" uri="{02D57815-91ED-43cb-92C2-25804820EDAC}">
              <c15:datalabelsRange>
                <c15:f>'Rapid Results Dashboard'!$Z$18:$AA$18</c15:f>
                <c15:dlblRangeCache>
                  <c:ptCount val="2"/>
                  <c:pt idx="0">
                    <c:v>#DIV/0!</c:v>
                  </c:pt>
                  <c:pt idx="1">
                    <c:v>#DIV/0!</c:v>
                  </c:pt>
                </c15:dlblRangeCache>
              </c15:datalabelsRange>
            </c:ext>
            <c:ext xmlns:c16="http://schemas.microsoft.com/office/drawing/2014/chart" uri="{C3380CC4-5D6E-409C-BE32-E72D297353CC}">
              <c16:uniqueId val="{00000008-8F90-4137-A695-9DB1130982FA}"/>
            </c:ext>
          </c:extLst>
        </c:ser>
        <c:ser>
          <c:idx val="3"/>
          <c:order val="3"/>
          <c:tx>
            <c:strRef>
              <c:f>'Rapid Results Dashboard'!$W$19</c:f>
              <c:strCache>
                <c:ptCount val="1"/>
                <c:pt idx="0">
                  <c:v>Labor</c:v>
                </c:pt>
              </c:strCache>
            </c:strRef>
          </c:tx>
          <c:spPr>
            <a:solidFill>
              <a:schemeClr val="accent4"/>
            </a:solidFill>
            <a:ln>
              <a:noFill/>
            </a:ln>
            <a:effectLst/>
          </c:spPr>
          <c:invertIfNegative val="0"/>
          <c:dLbls>
            <c:dLbl>
              <c:idx val="0"/>
              <c:tx>
                <c:rich>
                  <a:bodyPr/>
                  <a:lstStyle/>
                  <a:p>
                    <a:fld id="{177AB992-F76E-0746-BAC3-7FF0B9C4B2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F90-4137-A695-9DB1130982FA}"/>
                </c:ext>
              </c:extLst>
            </c:dLbl>
            <c:dLbl>
              <c:idx val="1"/>
              <c:tx>
                <c:rich>
                  <a:bodyPr/>
                  <a:lstStyle/>
                  <a:p>
                    <a:fld id="{0CA598B9-D1D7-4F45-B5B4-5C2701929BF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F90-4137-A695-9DB1130982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'Rapid Results Dashboard'!$X$19:$Y$19</c:f>
              <c:numCache>
                <c:formatCode>"$"#,##0</c:formatCode>
                <c:ptCount val="2"/>
                <c:pt idx="0">
                  <c:v>0</c:v>
                </c:pt>
                <c:pt idx="1">
                  <c:v>0</c:v>
                </c:pt>
              </c:numCache>
            </c:numRef>
          </c:val>
          <c:extLst>
            <c:ext xmlns:c15="http://schemas.microsoft.com/office/drawing/2012/chart" uri="{02D57815-91ED-43cb-92C2-25804820EDAC}">
              <c15:datalabelsRange>
                <c15:f>'Rapid Results Dashboard'!$Z$19:$AA$19</c15:f>
                <c15:dlblRangeCache>
                  <c:ptCount val="2"/>
                  <c:pt idx="0">
                    <c:v>#DIV/0!</c:v>
                  </c:pt>
                  <c:pt idx="1">
                    <c:v>#DIV/0!</c:v>
                  </c:pt>
                </c15:dlblRangeCache>
              </c15:datalabelsRange>
            </c:ext>
            <c:ext xmlns:c16="http://schemas.microsoft.com/office/drawing/2014/chart" uri="{C3380CC4-5D6E-409C-BE32-E72D297353CC}">
              <c16:uniqueId val="{0000000B-8F90-4137-A695-9DB1130982FA}"/>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scaling>
        <c:delete val="1"/>
        <c:axPos val="l"/>
        <c:numFmt formatCode="&quot;$&quot;#,##0"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8.4141165390035095E-3"/>
          <c:y val="0.82419551634265953"/>
          <c:w val="0.38808723836755527"/>
          <c:h val="0.168253001021067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1.7618947919991636E-4"/>
          <c:y val="3.5196736475108507E-2"/>
          <c:w val="0.99506225143342719"/>
          <c:h val="0.69725485897813844"/>
        </c:manualLayout>
      </c:layout>
      <c:barChart>
        <c:barDir val="col"/>
        <c:grouping val="stacked"/>
        <c:varyColors val="0"/>
        <c:ser>
          <c:idx val="0"/>
          <c:order val="0"/>
          <c:tx>
            <c:strRef>
              <c:f>'Rapid Results Dashboard'!$W$46</c:f>
              <c:strCache>
                <c:ptCount val="1"/>
                <c:pt idx="0">
                  <c:v>Raw Materials</c:v>
                </c:pt>
              </c:strCache>
            </c:strRef>
          </c:tx>
          <c:spPr>
            <a:solidFill>
              <a:schemeClr val="accent4">
                <a:shade val="58000"/>
              </a:schemeClr>
            </a:solidFill>
            <a:ln>
              <a:noFill/>
            </a:ln>
            <a:effectLst/>
          </c:spPr>
          <c:invertIfNegative val="0"/>
          <c:dLbls>
            <c:dLbl>
              <c:idx val="0"/>
              <c:layout>
                <c:manualLayout>
                  <c:x val="3.6633924976029299E-3"/>
                  <c:y val="-3.856561032659514E-2"/>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F87DB7BA-EBA6-324F-901B-417A031900D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805789429353064"/>
                      <c:h val="8.983216165408206E-2"/>
                    </c:manualLayout>
                  </c15:layout>
                  <c15:dlblFieldTable/>
                  <c15:showDataLabelsRange val="1"/>
                </c:ext>
                <c:ext xmlns:c16="http://schemas.microsoft.com/office/drawing/2014/chart" uri="{C3380CC4-5D6E-409C-BE32-E72D297353CC}">
                  <c16:uniqueId val="{00000000-AE30-44EE-95DB-993F2CBBA1FF}"/>
                </c:ext>
              </c:extLst>
            </c:dLbl>
            <c:dLbl>
              <c:idx val="1"/>
              <c:layout>
                <c:manualLayout>
                  <c:x val="0"/>
                  <c:y val="-3.856561032659514E-2"/>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3D9BCE74-E14E-3D44-A561-C5E244B6B91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1708040886921749"/>
                      <c:h val="8.983216165408206E-2"/>
                    </c:manualLayout>
                  </c15:layout>
                  <c15:dlblFieldTable/>
                  <c15:showDataLabelsRange val="1"/>
                </c:ext>
                <c:ext xmlns:c16="http://schemas.microsoft.com/office/drawing/2014/chart" uri="{C3380CC4-5D6E-409C-BE32-E72D297353CC}">
                  <c16:uniqueId val="{00000001-AE30-44EE-95DB-993F2CBBA1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'Rapid Results Dashboard'!$X$45:$Y$45</c:f>
              <c:numCache>
                <c:formatCode>General</c:formatCode>
                <c:ptCount val="2"/>
                <c:pt idx="0">
                  <c:v>0</c:v>
                </c:pt>
                <c:pt idx="1">
                  <c:v>0</c:v>
                </c:pt>
              </c:numCache>
            </c:numRef>
          </c:cat>
          <c:val>
            <c:numRef>
              <c:f>'Rapid Results Dashboard'!$X$46:$Y$46</c:f>
              <c:numCache>
                <c:formatCode>#,##0.0\ "million tons CO2-e"</c:formatCode>
                <c:ptCount val="2"/>
                <c:pt idx="0">
                  <c:v>0</c:v>
                </c:pt>
                <c:pt idx="1">
                  <c:v>0</c:v>
                </c:pt>
              </c:numCache>
            </c:numRef>
          </c:val>
          <c:extLst>
            <c:ext xmlns:c15="http://schemas.microsoft.com/office/drawing/2012/chart" uri="{02D57815-91ED-43cb-92C2-25804820EDAC}">
              <c15:datalabelsRange>
                <c15:f>'Rapid Results Dashboard'!$Z$46:$AA$46</c15:f>
                <c15:dlblRangeCache>
                  <c:ptCount val="2"/>
                  <c:pt idx="0">
                    <c:v>#DIV/0!</c:v>
                  </c:pt>
                  <c:pt idx="1">
                    <c:v>#DIV/0!</c:v>
                  </c:pt>
                </c15:dlblRangeCache>
              </c15:datalabelsRange>
            </c:ext>
            <c:ext xmlns:c16="http://schemas.microsoft.com/office/drawing/2014/chart" uri="{C3380CC4-5D6E-409C-BE32-E72D297353CC}">
              <c16:uniqueId val="{00000002-AE30-44EE-95DB-993F2CBBA1FF}"/>
            </c:ext>
          </c:extLst>
        </c:ser>
        <c:ser>
          <c:idx val="3"/>
          <c:order val="1"/>
          <c:tx>
            <c:strRef>
              <c:f>'Rapid Results Dashboard'!$W$47</c:f>
              <c:strCache>
                <c:ptCount val="1"/>
                <c:pt idx="0">
                  <c:v>Manufacturing</c:v>
                </c:pt>
              </c:strCache>
            </c:strRef>
          </c:tx>
          <c:spPr>
            <a:solidFill>
              <a:schemeClr val="accent4">
                <a:tint val="58000"/>
              </a:schemeClr>
            </a:solidFill>
            <a:ln>
              <a:noFill/>
            </a:ln>
            <a:effectLst/>
          </c:spPr>
          <c:invertIfNegative val="0"/>
          <c:dLbls>
            <c:dLbl>
              <c:idx val="0"/>
              <c:tx>
                <c:rich>
                  <a:bodyPr/>
                  <a:lstStyle/>
                  <a:p>
                    <a:fld id="{78E0302F-9EEC-7D44-9CCE-2876319648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5473280907591129"/>
                      <c:h val="0.1206846499153581"/>
                    </c:manualLayout>
                  </c15:layout>
                  <c15:dlblFieldTable/>
                  <c15:showDataLabelsRange val="1"/>
                </c:ext>
                <c:ext xmlns:c16="http://schemas.microsoft.com/office/drawing/2014/chart" uri="{C3380CC4-5D6E-409C-BE32-E72D297353CC}">
                  <c16:uniqueId val="{00000003-AE30-44EE-95DB-993F2CBBA1FF}"/>
                </c:ext>
              </c:extLst>
            </c:dLbl>
            <c:dLbl>
              <c:idx val="1"/>
              <c:tx>
                <c:rich>
                  <a:bodyPr/>
                  <a:lstStyle/>
                  <a:p>
                    <a:fld id="{A74EBEF5-0EB4-934E-BA81-8673CA57B4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1685956089839443"/>
                      <c:h val="0.1206846499153581"/>
                    </c:manualLayout>
                  </c15:layout>
                  <c15:dlblFieldTable/>
                  <c15:showDataLabelsRange val="1"/>
                </c:ext>
                <c:ext xmlns:c16="http://schemas.microsoft.com/office/drawing/2014/chart" uri="{C3380CC4-5D6E-409C-BE32-E72D297353CC}">
                  <c16:uniqueId val="{00000004-AE30-44EE-95DB-993F2CBBA1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'Rapid Results Dashboard'!$X$45:$Y$45</c:f>
              <c:numCache>
                <c:formatCode>General</c:formatCode>
                <c:ptCount val="2"/>
                <c:pt idx="0">
                  <c:v>0</c:v>
                </c:pt>
                <c:pt idx="1">
                  <c:v>0</c:v>
                </c:pt>
              </c:numCache>
            </c:numRef>
          </c:cat>
          <c:val>
            <c:numRef>
              <c:f>'Rapid Results Dashboard'!$X$47:$Y$47</c:f>
              <c:numCache>
                <c:formatCode>#,##0.0\ "million tons CO2-e"</c:formatCode>
                <c:ptCount val="2"/>
                <c:pt idx="0">
                  <c:v>0</c:v>
                </c:pt>
                <c:pt idx="1">
                  <c:v>0</c:v>
                </c:pt>
              </c:numCache>
            </c:numRef>
          </c:val>
          <c:extLst>
            <c:ext xmlns:c15="http://schemas.microsoft.com/office/drawing/2012/chart" uri="{02D57815-91ED-43cb-92C2-25804820EDAC}">
              <c15:datalabelsRange>
                <c15:f>'Rapid Results Dashboard'!$Z$47:$AA$47</c15:f>
                <c15:dlblRangeCache>
                  <c:ptCount val="2"/>
                  <c:pt idx="0">
                    <c:v>#DIV/0!</c:v>
                  </c:pt>
                  <c:pt idx="1">
                    <c:v>#DIV/0!</c:v>
                  </c:pt>
                </c15:dlblRangeCache>
              </c15:datalabelsRange>
            </c:ext>
            <c:ext xmlns:c16="http://schemas.microsoft.com/office/drawing/2014/chart" uri="{C3380CC4-5D6E-409C-BE32-E72D297353CC}">
              <c16:uniqueId val="{00000005-AE30-44EE-95DB-993F2CBBA1FF}"/>
            </c:ext>
          </c:extLst>
        </c:ser>
        <c:ser>
          <c:idx val="1"/>
          <c:order val="2"/>
          <c:tx>
            <c:strRef>
              <c:f>'Rapid Results Dashboard'!$W$48</c:f>
              <c:strCache>
                <c:ptCount val="1"/>
                <c:pt idx="0">
                  <c:v>Use Phase</c:v>
                </c:pt>
              </c:strCache>
            </c:strRef>
          </c:tx>
          <c:spPr>
            <a:solidFill>
              <a:schemeClr val="accent4">
                <a:shade val="86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fld id="{8AC4681A-7D23-554B-A881-802DC3C502C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4192601505007184"/>
                      <c:h val="8.4767211497855918E-2"/>
                    </c:manualLayout>
                  </c15:layout>
                  <c15:dlblFieldTable/>
                  <c15:showDataLabelsRange val="1"/>
                </c:ext>
                <c:ext xmlns:c16="http://schemas.microsoft.com/office/drawing/2014/chart" uri="{C3380CC4-5D6E-409C-BE32-E72D297353CC}">
                  <c16:uniqueId val="{00000006-AE30-44EE-95DB-993F2CBBA1FF}"/>
                </c:ext>
              </c:extLst>
            </c:dLbl>
            <c:dLbl>
              <c:idx val="1"/>
              <c:tx>
                <c:rich>
                  <a:bodyPr/>
                  <a:lstStyle/>
                  <a:p>
                    <a:fld id="{81477CF5-0BED-D045-B2D5-E5549B6DA5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0899425898362746"/>
                      <c:h val="9.244186917492267E-2"/>
                    </c:manualLayout>
                  </c15:layout>
                  <c15:dlblFieldTable/>
                  <c15:showDataLabelsRange val="1"/>
                </c:ext>
                <c:ext xmlns:c16="http://schemas.microsoft.com/office/drawing/2014/chart" uri="{C3380CC4-5D6E-409C-BE32-E72D297353CC}">
                  <c16:uniqueId val="{00000007-AE30-44EE-95DB-993F2CBBA1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'Rapid Results Dashboard'!$X$45:$Y$45</c:f>
              <c:numCache>
                <c:formatCode>General</c:formatCode>
                <c:ptCount val="2"/>
                <c:pt idx="0">
                  <c:v>0</c:v>
                </c:pt>
                <c:pt idx="1">
                  <c:v>0</c:v>
                </c:pt>
              </c:numCache>
            </c:numRef>
          </c:cat>
          <c:val>
            <c:numRef>
              <c:f>'Rapid Results Dashboard'!$X$48:$Y$48</c:f>
              <c:numCache>
                <c:formatCode>#,##0.0\ "million tons CO2-e"</c:formatCode>
                <c:ptCount val="2"/>
                <c:pt idx="0">
                  <c:v>0</c:v>
                </c:pt>
                <c:pt idx="1">
                  <c:v>0</c:v>
                </c:pt>
              </c:numCache>
            </c:numRef>
          </c:val>
          <c:extLst>
            <c:ext xmlns:c15="http://schemas.microsoft.com/office/drawing/2012/chart" uri="{02D57815-91ED-43cb-92C2-25804820EDAC}">
              <c15:datalabelsRange>
                <c15:f>'Rapid Results Dashboard'!$Z$48:$AA$48</c15:f>
                <c15:dlblRangeCache>
                  <c:ptCount val="2"/>
                  <c:pt idx="0">
                    <c:v>#DIV/0!</c:v>
                  </c:pt>
                  <c:pt idx="1">
                    <c:v>#DIV/0!</c:v>
                  </c:pt>
                </c15:dlblRangeCache>
              </c15:datalabelsRange>
            </c:ext>
            <c:ext xmlns:c16="http://schemas.microsoft.com/office/drawing/2014/chart" uri="{C3380CC4-5D6E-409C-BE32-E72D297353CC}">
              <c16:uniqueId val="{00000008-AE30-44EE-95DB-993F2CBBA1FF}"/>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min val="0"/>
        </c:scaling>
        <c:delete val="1"/>
        <c:axPos val="l"/>
        <c:numFmt formatCode="#,##0.0\ &quot;million tons CO2-e&quot;"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8.4141645158743745E-3"/>
          <c:y val="0.86283295483025668"/>
          <c:w val="0.33518246728289097"/>
          <c:h val="0.1217407979735138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1.7618947919991636E-4"/>
          <c:y val="3.5196736475108507E-2"/>
          <c:w val="0.99506225143342719"/>
          <c:h val="0.69725485897813844"/>
        </c:manualLayout>
      </c:layout>
      <c:barChart>
        <c:barDir val="col"/>
        <c:grouping val="stacked"/>
        <c:varyColors val="0"/>
        <c:ser>
          <c:idx val="0"/>
          <c:order val="0"/>
          <c:tx>
            <c:strRef>
              <c:f>'Rapid Results Dashboard'!$W$40</c:f>
              <c:strCache>
                <c:ptCount val="1"/>
                <c:pt idx="0">
                  <c:v>Raw Materials</c:v>
                </c:pt>
              </c:strCache>
            </c:strRef>
          </c:tx>
          <c:spPr>
            <a:solidFill>
              <a:schemeClr val="accent4">
                <a:shade val="58000"/>
              </a:schemeClr>
            </a:solidFill>
            <a:ln>
              <a:noFill/>
            </a:ln>
            <a:effectLst/>
          </c:spPr>
          <c:invertIfNegative val="0"/>
          <c:dLbls>
            <c:dLbl>
              <c:idx val="0"/>
              <c:tx>
                <c:rich>
                  <a:bodyPr/>
                  <a:lstStyle/>
                  <a:p>
                    <a:fld id="{8DD0A48B-D6FD-BC41-9575-56D240EADC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1992776059571635"/>
                      <c:h val="9.244186917492267E-2"/>
                    </c:manualLayout>
                  </c15:layout>
                  <c15:dlblFieldTable/>
                  <c15:showDataLabelsRange val="1"/>
                </c:ext>
                <c:ext xmlns:c16="http://schemas.microsoft.com/office/drawing/2014/chart" uri="{C3380CC4-5D6E-409C-BE32-E72D297353CC}">
                  <c16:uniqueId val="{00000000-26F2-4197-80D3-4E1EE90BF934}"/>
                </c:ext>
              </c:extLst>
            </c:dLbl>
            <c:dLbl>
              <c:idx val="1"/>
              <c:tx>
                <c:rich>
                  <a:bodyPr/>
                  <a:lstStyle/>
                  <a:p>
                    <a:fld id="{CCDB5FE0-149E-FC48-9239-BB3B326E63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37246387311071594"/>
                      <c:h val="9.244186917492267E-2"/>
                    </c:manualLayout>
                  </c15:layout>
                  <c15:dlblFieldTable/>
                  <c15:showDataLabelsRange val="1"/>
                </c:ext>
                <c:ext xmlns:c16="http://schemas.microsoft.com/office/drawing/2014/chart" uri="{C3380CC4-5D6E-409C-BE32-E72D297353CC}">
                  <c16:uniqueId val="{00000001-26F2-4197-80D3-4E1EE90BF9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'Rapid Results Dashboard'!$X$39:$Y$39</c:f>
              <c:numCache>
                <c:formatCode>General</c:formatCode>
                <c:ptCount val="2"/>
                <c:pt idx="0">
                  <c:v>0</c:v>
                </c:pt>
                <c:pt idx="1">
                  <c:v>0</c:v>
                </c:pt>
              </c:numCache>
            </c:numRef>
          </c:cat>
          <c:val>
            <c:numRef>
              <c:f>'Rapid Results Dashboard'!$X$40:$Y$40</c:f>
              <c:numCache>
                <c:formatCode>#,##0\ "lbs CO2-e"</c:formatCode>
                <c:ptCount val="2"/>
                <c:pt idx="0">
                  <c:v>0</c:v>
                </c:pt>
                <c:pt idx="1">
                  <c:v>0</c:v>
                </c:pt>
              </c:numCache>
            </c:numRef>
          </c:val>
          <c:extLst>
            <c:ext xmlns:c15="http://schemas.microsoft.com/office/drawing/2012/chart" uri="{02D57815-91ED-43cb-92C2-25804820EDAC}">
              <c15:datalabelsRange>
                <c15:f>'Rapid Results Dashboard'!$Z$40:$AA$40</c15:f>
                <c15:dlblRangeCache>
                  <c:ptCount val="2"/>
                </c15:dlblRangeCache>
              </c15:datalabelsRange>
            </c:ext>
            <c:ext xmlns:c16="http://schemas.microsoft.com/office/drawing/2014/chart" uri="{C3380CC4-5D6E-409C-BE32-E72D297353CC}">
              <c16:uniqueId val="{00000002-26F2-4197-80D3-4E1EE90BF934}"/>
            </c:ext>
          </c:extLst>
        </c:ser>
        <c:ser>
          <c:idx val="3"/>
          <c:order val="1"/>
          <c:tx>
            <c:strRef>
              <c:f>'Rapid Results Dashboard'!$W$41</c:f>
              <c:strCache>
                <c:ptCount val="1"/>
                <c:pt idx="0">
                  <c:v>Manufacturing</c:v>
                </c:pt>
              </c:strCache>
            </c:strRef>
          </c:tx>
          <c:spPr>
            <a:solidFill>
              <a:schemeClr val="accent4">
                <a:tint val="58000"/>
              </a:schemeClr>
            </a:solidFill>
            <a:ln>
              <a:noFill/>
            </a:ln>
            <a:effectLst/>
          </c:spPr>
          <c:invertIfNegative val="0"/>
          <c:dLbls>
            <c:dLbl>
              <c:idx val="0"/>
              <c:tx>
                <c:rich>
                  <a:bodyPr/>
                  <a:lstStyle/>
                  <a:p>
                    <a:fld id="{B7C5467F-16BA-5641-BC36-8FD9480B80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3183024314964719"/>
                      <c:h val="0.1206846499153581"/>
                    </c:manualLayout>
                  </c15:layout>
                  <c15:dlblFieldTable/>
                  <c15:showDataLabelsRange val="1"/>
                </c:ext>
                <c:ext xmlns:c16="http://schemas.microsoft.com/office/drawing/2014/chart" uri="{C3380CC4-5D6E-409C-BE32-E72D297353CC}">
                  <c16:uniqueId val="{00000003-26F2-4197-80D3-4E1EE90BF934}"/>
                </c:ext>
              </c:extLst>
            </c:dLbl>
            <c:dLbl>
              <c:idx val="1"/>
              <c:tx>
                <c:rich>
                  <a:bodyPr/>
                  <a:lstStyle/>
                  <a:p>
                    <a:fld id="{C847DF71-EC9F-734D-B6B4-F9D4FE7833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2745499842745327"/>
                      <c:h val="0.1206846499153581"/>
                    </c:manualLayout>
                  </c15:layout>
                  <c15:dlblFieldTable/>
                  <c15:showDataLabelsRange val="1"/>
                </c:ext>
                <c:ext xmlns:c16="http://schemas.microsoft.com/office/drawing/2014/chart" uri="{C3380CC4-5D6E-409C-BE32-E72D297353CC}">
                  <c16:uniqueId val="{00000004-26F2-4197-80D3-4E1EE90BF9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'Rapid Results Dashboard'!$X$39:$Y$39</c:f>
              <c:numCache>
                <c:formatCode>General</c:formatCode>
                <c:ptCount val="2"/>
                <c:pt idx="0">
                  <c:v>0</c:v>
                </c:pt>
                <c:pt idx="1">
                  <c:v>0</c:v>
                </c:pt>
              </c:numCache>
            </c:numRef>
          </c:cat>
          <c:val>
            <c:numRef>
              <c:f>'Rapid Results Dashboard'!$X$41:$Y$41</c:f>
              <c:numCache>
                <c:formatCode>#,##0\ "lbs CO2-e"</c:formatCode>
                <c:ptCount val="2"/>
                <c:pt idx="0">
                  <c:v>0</c:v>
                </c:pt>
                <c:pt idx="1">
                  <c:v>0</c:v>
                </c:pt>
              </c:numCache>
            </c:numRef>
          </c:val>
          <c:extLst>
            <c:ext xmlns:c15="http://schemas.microsoft.com/office/drawing/2012/chart" uri="{02D57815-91ED-43cb-92C2-25804820EDAC}">
              <c15:datalabelsRange>
                <c15:f>'Rapid Results Dashboard'!$Z$47:$AA$47</c15:f>
                <c15:dlblRangeCache>
                  <c:ptCount val="2"/>
                  <c:pt idx="0">
                    <c:v>#DIV/0!</c:v>
                  </c:pt>
                  <c:pt idx="1">
                    <c:v>#DIV/0!</c:v>
                  </c:pt>
                </c15:dlblRangeCache>
              </c15:datalabelsRange>
            </c:ext>
            <c:ext xmlns:c16="http://schemas.microsoft.com/office/drawing/2014/chart" uri="{C3380CC4-5D6E-409C-BE32-E72D297353CC}">
              <c16:uniqueId val="{00000005-26F2-4197-80D3-4E1EE90BF934}"/>
            </c:ext>
          </c:extLst>
        </c:ser>
        <c:dLbls>
          <c:showLegendKey val="0"/>
          <c:showVal val="0"/>
          <c:showCatName val="0"/>
          <c:showSerName val="0"/>
          <c:showPercent val="0"/>
          <c:showBubbleSize val="0"/>
        </c:dLbls>
        <c:gapWidth val="15"/>
        <c:overlap val="100"/>
        <c:axId val="652213263"/>
        <c:axId val="652209935"/>
      </c:barChart>
      <c:catAx>
        <c:axId val="652213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652209935"/>
        <c:crosses val="autoZero"/>
        <c:auto val="1"/>
        <c:lblAlgn val="ctr"/>
        <c:lblOffset val="100"/>
        <c:noMultiLvlLbl val="0"/>
      </c:catAx>
      <c:valAx>
        <c:axId val="652209935"/>
        <c:scaling>
          <c:orientation val="minMax"/>
        </c:scaling>
        <c:delete val="1"/>
        <c:axPos val="l"/>
        <c:numFmt formatCode="#,##0\ &quot;lbs CO2-e&quot;" sourceLinked="1"/>
        <c:majorTickMark val="out"/>
        <c:minorTickMark val="none"/>
        <c:tickLblPos val="nextTo"/>
        <c:crossAx val="652213263"/>
        <c:crosses val="autoZero"/>
        <c:crossBetween val="between"/>
      </c:valAx>
      <c:spPr>
        <a:noFill/>
        <a:ln>
          <a:noFill/>
        </a:ln>
        <a:effectLst/>
      </c:spPr>
    </c:plotArea>
    <c:legend>
      <c:legendPos val="r"/>
      <c:layout>
        <c:manualLayout>
          <c:xMode val="edge"/>
          <c:yMode val="edge"/>
          <c:x val="1.2065199454697143E-2"/>
          <c:y val="0.9143153116202537"/>
          <c:w val="0.31897859784029248"/>
          <c:h val="8.0704157433526449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 Id="rId5" Type="http://schemas.openxmlformats.org/officeDocument/2006/relationships/image" Target="../media/image6.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9.pn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5.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chart" Target="../charts/chart3.xml"/><Relationship Id="rId7" Type="http://schemas.openxmlformats.org/officeDocument/2006/relationships/image" Target="../media/image1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3.png"/><Relationship Id="rId11" Type="http://schemas.openxmlformats.org/officeDocument/2006/relationships/chart" Target="../charts/chart6.xml"/><Relationship Id="rId5" Type="http://schemas.openxmlformats.org/officeDocument/2006/relationships/chart" Target="../charts/chart4.xml"/><Relationship Id="rId10" Type="http://schemas.openxmlformats.org/officeDocument/2006/relationships/chart" Target="../charts/chart5.xml"/><Relationship Id="rId4" Type="http://schemas.openxmlformats.org/officeDocument/2006/relationships/image" Target="../media/image12.jpeg"/><Relationship Id="rId9" Type="http://schemas.openxmlformats.org/officeDocument/2006/relationships/image" Target="../media/image16.svg"/></Relationships>
</file>

<file path=xl/drawings/_rels/drawing1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18.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chart" Target="../charts/chart9.xml"/><Relationship Id="rId7" Type="http://schemas.openxmlformats.org/officeDocument/2006/relationships/image" Target="../media/image14.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3.png"/><Relationship Id="rId11" Type="http://schemas.openxmlformats.org/officeDocument/2006/relationships/chart" Target="../charts/chart12.xml"/><Relationship Id="rId5" Type="http://schemas.openxmlformats.org/officeDocument/2006/relationships/chart" Target="../charts/chart10.xml"/><Relationship Id="rId10" Type="http://schemas.openxmlformats.org/officeDocument/2006/relationships/chart" Target="../charts/chart11.xml"/><Relationship Id="rId4" Type="http://schemas.openxmlformats.org/officeDocument/2006/relationships/image" Target="../media/image12.jpeg"/><Relationship Id="rId9" Type="http://schemas.openxmlformats.org/officeDocument/2006/relationships/image" Target="../media/image16.svg"/></Relationships>
</file>

<file path=xl/drawings/_rels/drawing1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2.emf"/><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22.emf"/><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3.jpeg"/></Relationships>
</file>

<file path=xl/drawings/drawing1.xml><?xml version="1.0" encoding="utf-8"?>
<xdr:wsDr xmlns:xdr="http://schemas.openxmlformats.org/drawingml/2006/spreadsheetDrawing" xmlns:a="http://schemas.openxmlformats.org/drawingml/2006/main">
  <xdr:twoCellAnchor editAs="oneCell">
    <xdr:from>
      <xdr:col>2</xdr:col>
      <xdr:colOff>8507730</xdr:colOff>
      <xdr:row>0</xdr:row>
      <xdr:rowOff>53340</xdr:rowOff>
    </xdr:from>
    <xdr:to>
      <xdr:col>2</xdr:col>
      <xdr:colOff>9658882</xdr:colOff>
      <xdr:row>4</xdr:row>
      <xdr:rowOff>478</xdr:rowOff>
    </xdr:to>
    <xdr:pic>
      <xdr:nvPicPr>
        <xdr:cNvPr id="2" name="Picture 1">
          <a:extLst>
            <a:ext uri="{FF2B5EF4-FFF2-40B4-BE49-F238E27FC236}">
              <a16:creationId xmlns:a16="http://schemas.microsoft.com/office/drawing/2014/main" id="{55996A61-2D44-4AFD-8FC0-D2BA2A1548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8896350" y="53340"/>
          <a:ext cx="1147342" cy="899638"/>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7</xdr:col>
      <xdr:colOff>38100</xdr:colOff>
      <xdr:row>3</xdr:row>
      <xdr:rowOff>1392480</xdr:rowOff>
    </xdr:to>
    <xdr:pic>
      <xdr:nvPicPr>
        <xdr:cNvPr id="5" name="Picture 4">
          <a:extLst>
            <a:ext uri="{FF2B5EF4-FFF2-40B4-BE49-F238E27FC236}">
              <a16:creationId xmlns:a16="http://schemas.microsoft.com/office/drawing/2014/main" id="{A6653CBA-A486-AE08-6A9D-B6B29907B7B8}"/>
            </a:ext>
          </a:extLst>
        </xdr:cNvPr>
        <xdr:cNvPicPr>
          <a:picLocks noChangeAspect="1"/>
        </xdr:cNvPicPr>
      </xdr:nvPicPr>
      <xdr:blipFill>
        <a:blip xmlns:r="http://schemas.openxmlformats.org/officeDocument/2006/relationships" r:embed="rId1"/>
        <a:stretch>
          <a:fillRect/>
        </a:stretch>
      </xdr:blipFill>
      <xdr:spPr>
        <a:xfrm>
          <a:off x="9121140" y="182880"/>
          <a:ext cx="2476500" cy="176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1</xdr:rowOff>
    </xdr:from>
    <xdr:to>
      <xdr:col>7</xdr:col>
      <xdr:colOff>94635</xdr:colOff>
      <xdr:row>5</xdr:row>
      <xdr:rowOff>59056</xdr:rowOff>
    </xdr:to>
    <xdr:pic>
      <xdr:nvPicPr>
        <xdr:cNvPr id="3" name="Picture 2">
          <a:extLst>
            <a:ext uri="{FF2B5EF4-FFF2-40B4-BE49-F238E27FC236}">
              <a16:creationId xmlns:a16="http://schemas.microsoft.com/office/drawing/2014/main" id="{CFF6BD14-49A6-0295-EED1-5EAA325604D0}"/>
            </a:ext>
          </a:extLst>
        </xdr:cNvPr>
        <xdr:cNvPicPr>
          <a:picLocks noChangeAspect="1"/>
        </xdr:cNvPicPr>
      </xdr:nvPicPr>
      <xdr:blipFill>
        <a:blip xmlns:r="http://schemas.openxmlformats.org/officeDocument/2006/relationships" r:embed="rId1"/>
        <a:stretch>
          <a:fillRect/>
        </a:stretch>
      </xdr:blipFill>
      <xdr:spPr>
        <a:xfrm>
          <a:off x="9159240" y="182881"/>
          <a:ext cx="2540655" cy="18135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760095</xdr:colOff>
      <xdr:row>0</xdr:row>
      <xdr:rowOff>11430</xdr:rowOff>
    </xdr:from>
    <xdr:to>
      <xdr:col>7</xdr:col>
      <xdr:colOff>8152</xdr:colOff>
      <xdr:row>3</xdr:row>
      <xdr:rowOff>158593</xdr:rowOff>
    </xdr:to>
    <xdr:pic>
      <xdr:nvPicPr>
        <xdr:cNvPr id="6" name="Picture 5">
          <a:extLst>
            <a:ext uri="{FF2B5EF4-FFF2-40B4-BE49-F238E27FC236}">
              <a16:creationId xmlns:a16="http://schemas.microsoft.com/office/drawing/2014/main" id="{E5941E94-34E6-4689-BAB5-8DE4458D97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9999345" y="11430"/>
          <a:ext cx="1191157" cy="880588"/>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7</xdr:col>
      <xdr:colOff>7620</xdr:colOff>
      <xdr:row>0</xdr:row>
      <xdr:rowOff>1</xdr:rowOff>
    </xdr:from>
    <xdr:to>
      <xdr:col>11</xdr:col>
      <xdr:colOff>130224</xdr:colOff>
      <xdr:row>6</xdr:row>
      <xdr:rowOff>171451</xdr:rowOff>
    </xdr:to>
    <xdr:pic>
      <xdr:nvPicPr>
        <xdr:cNvPr id="3" name="Picture 2">
          <a:extLst>
            <a:ext uri="{FF2B5EF4-FFF2-40B4-BE49-F238E27FC236}">
              <a16:creationId xmlns:a16="http://schemas.microsoft.com/office/drawing/2014/main" id="{962FEFC0-77FF-1306-5AD6-38A445BBF03C}"/>
            </a:ext>
          </a:extLst>
        </xdr:cNvPr>
        <xdr:cNvPicPr>
          <a:picLocks noChangeAspect="1"/>
        </xdr:cNvPicPr>
      </xdr:nvPicPr>
      <xdr:blipFill>
        <a:blip xmlns:r="http://schemas.openxmlformats.org/officeDocument/2006/relationships" r:embed="rId2"/>
        <a:stretch>
          <a:fillRect/>
        </a:stretch>
      </xdr:blipFill>
      <xdr:spPr>
        <a:xfrm>
          <a:off x="11186160" y="1"/>
          <a:ext cx="2199054" cy="15697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171450</xdr:colOff>
      <xdr:row>0</xdr:row>
      <xdr:rowOff>9525</xdr:rowOff>
    </xdr:from>
    <xdr:to>
      <xdr:col>13</xdr:col>
      <xdr:colOff>321945</xdr:colOff>
      <xdr:row>5</xdr:row>
      <xdr:rowOff>97682</xdr:rowOff>
    </xdr:to>
    <xdr:pic>
      <xdr:nvPicPr>
        <xdr:cNvPr id="3" name="Picture 3">
          <a:extLst>
            <a:ext uri="{FF2B5EF4-FFF2-40B4-BE49-F238E27FC236}">
              <a16:creationId xmlns:a16="http://schemas.microsoft.com/office/drawing/2014/main" id="{AA8D0100-7A81-4783-994C-5FEE19655DED}"/>
            </a:ext>
          </a:extLst>
        </xdr:cNvPr>
        <xdr:cNvPicPr>
          <a:picLocks noChangeAspect="1"/>
        </xdr:cNvPicPr>
      </xdr:nvPicPr>
      <xdr:blipFill>
        <a:blip xmlns:r="http://schemas.openxmlformats.org/officeDocument/2006/relationships" r:embed="rId1"/>
        <a:stretch>
          <a:fillRect/>
        </a:stretch>
      </xdr:blipFill>
      <xdr:spPr>
        <a:xfrm>
          <a:off x="12420600" y="9525"/>
          <a:ext cx="1773555" cy="1269257"/>
        </a:xfrm>
        <a:prstGeom prst="rect">
          <a:avLst/>
        </a:prstGeom>
      </xdr:spPr>
    </xdr:pic>
    <xdr:clientData/>
  </xdr:twoCellAnchor>
  <xdr:twoCellAnchor editAs="oneCell">
    <xdr:from>
      <xdr:col>8</xdr:col>
      <xdr:colOff>548640</xdr:colOff>
      <xdr:row>0</xdr:row>
      <xdr:rowOff>7620</xdr:rowOff>
    </xdr:from>
    <xdr:to>
      <xdr:col>10</xdr:col>
      <xdr:colOff>532</xdr:colOff>
      <xdr:row>3</xdr:row>
      <xdr:rowOff>201773</xdr:rowOff>
    </xdr:to>
    <xdr:pic>
      <xdr:nvPicPr>
        <xdr:cNvPr id="4" name="Picture 4">
          <a:extLst>
            <a:ext uri="{FF2B5EF4-FFF2-40B4-BE49-F238E27FC236}">
              <a16:creationId xmlns:a16="http://schemas.microsoft.com/office/drawing/2014/main" id="{F552A156-72C6-4A11-81D4-5C18F495E0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28281"/>
        <a:stretch>
          <a:fillRect/>
        </a:stretch>
      </xdr:blipFill>
      <xdr:spPr bwMode="auto">
        <a:xfrm>
          <a:off x="13083540" y="7620"/>
          <a:ext cx="1179092" cy="895193"/>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19</xdr:col>
      <xdr:colOff>72390</xdr:colOff>
      <xdr:row>0</xdr:row>
      <xdr:rowOff>21590</xdr:rowOff>
    </xdr:from>
    <xdr:to>
      <xdr:col>20</xdr:col>
      <xdr:colOff>183412</xdr:colOff>
      <xdr:row>4</xdr:row>
      <xdr:rowOff>16353</xdr:rowOff>
    </xdr:to>
    <xdr:pic>
      <xdr:nvPicPr>
        <xdr:cNvPr id="12" name="Picture 1">
          <a:extLst>
            <a:ext uri="{FF2B5EF4-FFF2-40B4-BE49-F238E27FC236}">
              <a16:creationId xmlns:a16="http://schemas.microsoft.com/office/drawing/2014/main" id="{60F60777-28C4-4485-A55A-D68157F1A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19636740" y="21590"/>
          <a:ext cx="1079397" cy="899638"/>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18</xdr:col>
      <xdr:colOff>541020</xdr:colOff>
      <xdr:row>10</xdr:row>
      <xdr:rowOff>47626</xdr:rowOff>
    </xdr:from>
    <xdr:to>
      <xdr:col>19</xdr:col>
      <xdr:colOff>893445</xdr:colOff>
      <xdr:row>13</xdr:row>
      <xdr:rowOff>474873</xdr:rowOff>
    </xdr:to>
    <xdr:pic>
      <xdr:nvPicPr>
        <xdr:cNvPr id="3" name="Picture 3">
          <a:extLst>
            <a:ext uri="{FF2B5EF4-FFF2-40B4-BE49-F238E27FC236}">
              <a16:creationId xmlns:a16="http://schemas.microsoft.com/office/drawing/2014/main" id="{CCCE5226-C641-0116-C9C9-BE4E06296D76}"/>
            </a:ext>
          </a:extLst>
        </xdr:cNvPr>
        <xdr:cNvPicPr>
          <a:picLocks noChangeAspect="1"/>
        </xdr:cNvPicPr>
      </xdr:nvPicPr>
      <xdr:blipFill>
        <a:blip xmlns:r="http://schemas.openxmlformats.org/officeDocument/2006/relationships" r:embed="rId2"/>
        <a:stretch>
          <a:fillRect/>
        </a:stretch>
      </xdr:blipFill>
      <xdr:spPr>
        <a:xfrm>
          <a:off x="18190845" y="2552701"/>
          <a:ext cx="1773555" cy="1274972"/>
        </a:xfrm>
        <a:prstGeom prst="rect">
          <a:avLst/>
        </a:prstGeom>
      </xdr:spPr>
    </xdr:pic>
    <xdr:clientData/>
  </xdr:twoCellAnchor>
  <xdr:twoCellAnchor editAs="oneCell">
    <xdr:from>
      <xdr:col>1</xdr:col>
      <xdr:colOff>190500</xdr:colOff>
      <xdr:row>49</xdr:row>
      <xdr:rowOff>161925</xdr:rowOff>
    </xdr:from>
    <xdr:to>
      <xdr:col>6</xdr:col>
      <xdr:colOff>663799</xdr:colOff>
      <xdr:row>60</xdr:row>
      <xdr:rowOff>76495</xdr:rowOff>
    </xdr:to>
    <xdr:pic>
      <xdr:nvPicPr>
        <xdr:cNvPr id="5" name="Picture 4">
          <a:extLst>
            <a:ext uri="{FF2B5EF4-FFF2-40B4-BE49-F238E27FC236}">
              <a16:creationId xmlns:a16="http://schemas.microsoft.com/office/drawing/2014/main" id="{EFB47F46-4940-45D1-8A01-CC51316FDFCC}"/>
            </a:ext>
          </a:extLst>
        </xdr:cNvPr>
        <xdr:cNvPicPr>
          <a:picLocks noChangeAspect="1"/>
        </xdr:cNvPicPr>
      </xdr:nvPicPr>
      <xdr:blipFill>
        <a:blip xmlns:r="http://schemas.openxmlformats.org/officeDocument/2006/relationships" r:embed="rId3"/>
        <a:stretch>
          <a:fillRect/>
        </a:stretch>
      </xdr:blipFill>
      <xdr:spPr>
        <a:xfrm>
          <a:off x="371475" y="13998575"/>
          <a:ext cx="6150199" cy="2118020"/>
        </a:xfrm>
        <a:prstGeom prst="rect">
          <a:avLst/>
        </a:prstGeom>
      </xdr:spPr>
    </xdr:pic>
    <xdr:clientData/>
  </xdr:twoCellAnchor>
  <xdr:twoCellAnchor>
    <xdr:from>
      <xdr:col>1</xdr:col>
      <xdr:colOff>447675</xdr:colOff>
      <xdr:row>55</xdr:row>
      <xdr:rowOff>161925</xdr:rowOff>
    </xdr:from>
    <xdr:to>
      <xdr:col>6</xdr:col>
      <xdr:colOff>800100</xdr:colOff>
      <xdr:row>58</xdr:row>
      <xdr:rowOff>161925</xdr:rowOff>
    </xdr:to>
    <xdr:sp macro="" textlink="">
      <xdr:nvSpPr>
        <xdr:cNvPr id="6" name="Rectangle 5">
          <a:extLst>
            <a:ext uri="{FF2B5EF4-FFF2-40B4-BE49-F238E27FC236}">
              <a16:creationId xmlns:a16="http://schemas.microsoft.com/office/drawing/2014/main" id="{C4128BA6-0A1D-4EB0-B04E-E3E402B704A6}"/>
            </a:ext>
          </a:extLst>
        </xdr:cNvPr>
        <xdr:cNvSpPr/>
      </xdr:nvSpPr>
      <xdr:spPr>
        <a:xfrm>
          <a:off x="625475" y="15198725"/>
          <a:ext cx="5784850" cy="60007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371475</xdr:colOff>
      <xdr:row>94</xdr:row>
      <xdr:rowOff>123825</xdr:rowOff>
    </xdr:from>
    <xdr:to>
      <xdr:col>8</xdr:col>
      <xdr:colOff>286780</xdr:colOff>
      <xdr:row>99</xdr:row>
      <xdr:rowOff>76249</xdr:rowOff>
    </xdr:to>
    <xdr:pic>
      <xdr:nvPicPr>
        <xdr:cNvPr id="7" name="Picture 6">
          <a:extLst>
            <a:ext uri="{FF2B5EF4-FFF2-40B4-BE49-F238E27FC236}">
              <a16:creationId xmlns:a16="http://schemas.microsoft.com/office/drawing/2014/main" id="{61B5CBF9-27FE-4948-B217-4D5710D36073}"/>
            </a:ext>
          </a:extLst>
        </xdr:cNvPr>
        <xdr:cNvPicPr>
          <a:picLocks noChangeAspect="1"/>
        </xdr:cNvPicPr>
      </xdr:nvPicPr>
      <xdr:blipFill>
        <a:blip xmlns:r="http://schemas.openxmlformats.org/officeDocument/2006/relationships" r:embed="rId4"/>
        <a:stretch>
          <a:fillRect/>
        </a:stretch>
      </xdr:blipFill>
      <xdr:spPr>
        <a:xfrm>
          <a:off x="549275" y="22961600"/>
          <a:ext cx="7702310" cy="955724"/>
        </a:xfrm>
        <a:prstGeom prst="rect">
          <a:avLst/>
        </a:prstGeom>
      </xdr:spPr>
    </xdr:pic>
    <xdr:clientData/>
  </xdr:twoCellAnchor>
  <xdr:twoCellAnchor editAs="oneCell">
    <xdr:from>
      <xdr:col>1</xdr:col>
      <xdr:colOff>371475</xdr:colOff>
      <xdr:row>94</xdr:row>
      <xdr:rowOff>123825</xdr:rowOff>
    </xdr:from>
    <xdr:to>
      <xdr:col>8</xdr:col>
      <xdr:colOff>96271</xdr:colOff>
      <xdr:row>95</xdr:row>
      <xdr:rowOff>76208</xdr:rowOff>
    </xdr:to>
    <xdr:pic>
      <xdr:nvPicPr>
        <xdr:cNvPr id="8" name="Picture 7">
          <a:extLst>
            <a:ext uri="{FF2B5EF4-FFF2-40B4-BE49-F238E27FC236}">
              <a16:creationId xmlns:a16="http://schemas.microsoft.com/office/drawing/2014/main" id="{D4B441F2-63C6-45E1-8217-69A1FA085465}"/>
            </a:ext>
          </a:extLst>
        </xdr:cNvPr>
        <xdr:cNvPicPr>
          <a:picLocks noChangeAspect="1"/>
        </xdr:cNvPicPr>
      </xdr:nvPicPr>
      <xdr:blipFill>
        <a:blip xmlns:r="http://schemas.openxmlformats.org/officeDocument/2006/relationships" r:embed="rId5"/>
        <a:stretch>
          <a:fillRect/>
        </a:stretch>
      </xdr:blipFill>
      <xdr:spPr>
        <a:xfrm>
          <a:off x="549275" y="22961600"/>
          <a:ext cx="7511801" cy="155583"/>
        </a:xfrm>
        <a:prstGeom prst="rect">
          <a:avLst/>
        </a:prstGeom>
      </xdr:spPr>
    </xdr:pic>
    <xdr:clientData/>
  </xdr:twoCellAnchor>
  <xdr:twoCellAnchor editAs="oneCell">
    <xdr:from>
      <xdr:col>1</xdr:col>
      <xdr:colOff>444500</xdr:colOff>
      <xdr:row>99</xdr:row>
      <xdr:rowOff>63500</xdr:rowOff>
    </xdr:from>
    <xdr:to>
      <xdr:col>8</xdr:col>
      <xdr:colOff>168661</xdr:colOff>
      <xdr:row>100</xdr:row>
      <xdr:rowOff>2548</xdr:rowOff>
    </xdr:to>
    <xdr:pic>
      <xdr:nvPicPr>
        <xdr:cNvPr id="9" name="Picture 8">
          <a:extLst>
            <a:ext uri="{FF2B5EF4-FFF2-40B4-BE49-F238E27FC236}">
              <a16:creationId xmlns:a16="http://schemas.microsoft.com/office/drawing/2014/main" id="{E7280CAB-517C-4237-B21C-3EBA28EF32EE}"/>
            </a:ext>
          </a:extLst>
        </xdr:cNvPr>
        <xdr:cNvPicPr>
          <a:picLocks noChangeAspect="1"/>
        </xdr:cNvPicPr>
      </xdr:nvPicPr>
      <xdr:blipFill>
        <a:blip xmlns:r="http://schemas.openxmlformats.org/officeDocument/2006/relationships" r:embed="rId5"/>
        <a:stretch>
          <a:fillRect/>
        </a:stretch>
      </xdr:blipFill>
      <xdr:spPr>
        <a:xfrm>
          <a:off x="628650" y="23907750"/>
          <a:ext cx="7512436" cy="13589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304800</xdr:colOff>
      <xdr:row>0</xdr:row>
      <xdr:rowOff>7620</xdr:rowOff>
    </xdr:from>
    <xdr:to>
      <xdr:col>8</xdr:col>
      <xdr:colOff>2437</xdr:colOff>
      <xdr:row>4</xdr:row>
      <xdr:rowOff>7463</xdr:rowOff>
    </xdr:to>
    <xdr:pic>
      <xdr:nvPicPr>
        <xdr:cNvPr id="2" name="Picture 1">
          <a:extLst>
            <a:ext uri="{FF2B5EF4-FFF2-40B4-BE49-F238E27FC236}">
              <a16:creationId xmlns:a16="http://schemas.microsoft.com/office/drawing/2014/main" id="{BED7E2EA-4DD5-4250-8C35-BF4C4073E0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9115425" y="7620"/>
          <a:ext cx="1154962" cy="914243"/>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8</xdr:col>
      <xdr:colOff>15240</xdr:colOff>
      <xdr:row>0</xdr:row>
      <xdr:rowOff>1</xdr:rowOff>
    </xdr:from>
    <xdr:to>
      <xdr:col>12</xdr:col>
      <xdr:colOff>287655</xdr:colOff>
      <xdr:row>7</xdr:row>
      <xdr:rowOff>1</xdr:rowOff>
    </xdr:to>
    <xdr:pic>
      <xdr:nvPicPr>
        <xdr:cNvPr id="4" name="Picture 3">
          <a:extLst>
            <a:ext uri="{FF2B5EF4-FFF2-40B4-BE49-F238E27FC236}">
              <a16:creationId xmlns:a16="http://schemas.microsoft.com/office/drawing/2014/main" id="{454DC7F8-15A6-F409-1FEA-744334A26791}"/>
            </a:ext>
          </a:extLst>
        </xdr:cNvPr>
        <xdr:cNvPicPr>
          <a:picLocks noChangeAspect="1"/>
        </xdr:cNvPicPr>
      </xdr:nvPicPr>
      <xdr:blipFill>
        <a:blip xmlns:r="http://schemas.openxmlformats.org/officeDocument/2006/relationships" r:embed="rId2"/>
        <a:stretch>
          <a:fillRect/>
        </a:stretch>
      </xdr:blipFill>
      <xdr:spPr>
        <a:xfrm>
          <a:off x="10294620" y="1"/>
          <a:ext cx="2316480" cy="16535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1031241</xdr:colOff>
      <xdr:row>0</xdr:row>
      <xdr:rowOff>19050</xdr:rowOff>
    </xdr:from>
    <xdr:to>
      <xdr:col>21</xdr:col>
      <xdr:colOff>7105</xdr:colOff>
      <xdr:row>3</xdr:row>
      <xdr:rowOff>210820</xdr:rowOff>
    </xdr:to>
    <xdr:pic>
      <xdr:nvPicPr>
        <xdr:cNvPr id="9" name="Picture 3">
          <a:extLst>
            <a:ext uri="{FF2B5EF4-FFF2-40B4-BE49-F238E27FC236}">
              <a16:creationId xmlns:a16="http://schemas.microsoft.com/office/drawing/2014/main" id="{F20F8C1F-27CB-4DA2-8E99-0F67E0CDD0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24100791" y="19050"/>
          <a:ext cx="1309489" cy="896620"/>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12</xdr:col>
      <xdr:colOff>344805</xdr:colOff>
      <xdr:row>0</xdr:row>
      <xdr:rowOff>180975</xdr:rowOff>
    </xdr:from>
    <xdr:to>
      <xdr:col>12</xdr:col>
      <xdr:colOff>1869440</xdr:colOff>
      <xdr:row>4</xdr:row>
      <xdr:rowOff>409734</xdr:rowOff>
    </xdr:to>
    <xdr:pic>
      <xdr:nvPicPr>
        <xdr:cNvPr id="5" name="Picture 2">
          <a:extLst>
            <a:ext uri="{FF2B5EF4-FFF2-40B4-BE49-F238E27FC236}">
              <a16:creationId xmlns:a16="http://schemas.microsoft.com/office/drawing/2014/main" id="{05AB4802-8C1E-E2CA-2212-59276121BDBB}"/>
            </a:ext>
          </a:extLst>
        </xdr:cNvPr>
        <xdr:cNvPicPr>
          <a:picLocks noChangeAspect="1"/>
        </xdr:cNvPicPr>
      </xdr:nvPicPr>
      <xdr:blipFill>
        <a:blip xmlns:r="http://schemas.openxmlformats.org/officeDocument/2006/relationships" r:embed="rId2"/>
        <a:stretch>
          <a:fillRect/>
        </a:stretch>
      </xdr:blipFill>
      <xdr:spPr>
        <a:xfrm>
          <a:off x="15280005" y="180975"/>
          <a:ext cx="1524635" cy="11615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1746884</xdr:colOff>
      <xdr:row>0</xdr:row>
      <xdr:rowOff>9525</xdr:rowOff>
    </xdr:from>
    <xdr:to>
      <xdr:col>18</xdr:col>
      <xdr:colOff>2540</xdr:colOff>
      <xdr:row>3</xdr:row>
      <xdr:rowOff>221477</xdr:rowOff>
    </xdr:to>
    <xdr:pic>
      <xdr:nvPicPr>
        <xdr:cNvPr id="12" name="Picture 3">
          <a:extLst>
            <a:ext uri="{FF2B5EF4-FFF2-40B4-BE49-F238E27FC236}">
              <a16:creationId xmlns:a16="http://schemas.microsoft.com/office/drawing/2014/main" id="{A1EAD426-D72A-4267-A3B5-7A3D4D02AE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25292684" y="9525"/>
          <a:ext cx="1189356" cy="875527"/>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7</xdr:col>
      <xdr:colOff>1744980</xdr:colOff>
      <xdr:row>0</xdr:row>
      <xdr:rowOff>0</xdr:rowOff>
    </xdr:from>
    <xdr:to>
      <xdr:col>8</xdr:col>
      <xdr:colOff>1541145</xdr:colOff>
      <xdr:row>4</xdr:row>
      <xdr:rowOff>197410</xdr:rowOff>
    </xdr:to>
    <xdr:pic>
      <xdr:nvPicPr>
        <xdr:cNvPr id="3" name="Picture 4">
          <a:extLst>
            <a:ext uri="{FF2B5EF4-FFF2-40B4-BE49-F238E27FC236}">
              <a16:creationId xmlns:a16="http://schemas.microsoft.com/office/drawing/2014/main" id="{48BA42CD-C360-F8F3-C57E-138F6F7AEE23}"/>
            </a:ext>
          </a:extLst>
        </xdr:cNvPr>
        <xdr:cNvPicPr>
          <a:picLocks noChangeAspect="1"/>
        </xdr:cNvPicPr>
      </xdr:nvPicPr>
      <xdr:blipFill>
        <a:blip xmlns:r="http://schemas.openxmlformats.org/officeDocument/2006/relationships" r:embed="rId2"/>
        <a:stretch>
          <a:fillRect/>
        </a:stretch>
      </xdr:blipFill>
      <xdr:spPr>
        <a:xfrm>
          <a:off x="11346180" y="0"/>
          <a:ext cx="1560195" cy="1093395"/>
        </a:xfrm>
        <a:prstGeom prst="rect">
          <a:avLst/>
        </a:prstGeom>
      </xdr:spPr>
    </xdr:pic>
    <xdr:clientData/>
  </xdr:twoCellAnchor>
  <xdr:twoCellAnchor editAs="oneCell">
    <xdr:from>
      <xdr:col>1</xdr:col>
      <xdr:colOff>276225</xdr:colOff>
      <xdr:row>73</xdr:row>
      <xdr:rowOff>85725</xdr:rowOff>
    </xdr:from>
    <xdr:to>
      <xdr:col>2</xdr:col>
      <xdr:colOff>54196</xdr:colOff>
      <xdr:row>75</xdr:row>
      <xdr:rowOff>15932</xdr:rowOff>
    </xdr:to>
    <xdr:pic>
      <xdr:nvPicPr>
        <xdr:cNvPr id="6" name="Picture 5">
          <a:extLst>
            <a:ext uri="{FF2B5EF4-FFF2-40B4-BE49-F238E27FC236}">
              <a16:creationId xmlns:a16="http://schemas.microsoft.com/office/drawing/2014/main" id="{2CEB4475-0121-4C5C-A8D9-34E7B844F09B}"/>
            </a:ext>
          </a:extLst>
        </xdr:cNvPr>
        <xdr:cNvPicPr>
          <a:picLocks noChangeAspect="1"/>
        </xdr:cNvPicPr>
      </xdr:nvPicPr>
      <xdr:blipFill>
        <a:blip xmlns:r="http://schemas.openxmlformats.org/officeDocument/2006/relationships" r:embed="rId3"/>
        <a:stretch>
          <a:fillRect/>
        </a:stretch>
      </xdr:blipFill>
      <xdr:spPr>
        <a:xfrm>
          <a:off x="454025" y="31010225"/>
          <a:ext cx="1571846" cy="409632"/>
        </a:xfrm>
        <a:prstGeom prst="rect">
          <a:avLst/>
        </a:prstGeom>
      </xdr:spPr>
    </xdr:pic>
    <xdr:clientData/>
  </xdr:twoCellAnchor>
  <xdr:twoCellAnchor editAs="oneCell">
    <xdr:from>
      <xdr:col>1</xdr:col>
      <xdr:colOff>85725</xdr:colOff>
      <xdr:row>76</xdr:row>
      <xdr:rowOff>200025</xdr:rowOff>
    </xdr:from>
    <xdr:to>
      <xdr:col>4</xdr:col>
      <xdr:colOff>587375</xdr:colOff>
      <xdr:row>82</xdr:row>
      <xdr:rowOff>211295</xdr:rowOff>
    </xdr:to>
    <xdr:pic>
      <xdr:nvPicPr>
        <xdr:cNvPr id="7" name="Picture 6">
          <a:extLst>
            <a:ext uri="{FF2B5EF4-FFF2-40B4-BE49-F238E27FC236}">
              <a16:creationId xmlns:a16="http://schemas.microsoft.com/office/drawing/2014/main" id="{38B88AE5-5CE9-4E71-9F28-90F26C1D81AB}"/>
            </a:ext>
          </a:extLst>
        </xdr:cNvPr>
        <xdr:cNvPicPr>
          <a:picLocks noChangeAspect="1"/>
        </xdr:cNvPicPr>
      </xdr:nvPicPr>
      <xdr:blipFill>
        <a:blip xmlns:r="http://schemas.openxmlformats.org/officeDocument/2006/relationships" r:embed="rId4"/>
        <a:stretch>
          <a:fillRect/>
        </a:stretch>
      </xdr:blipFill>
      <xdr:spPr>
        <a:xfrm>
          <a:off x="263525" y="31838900"/>
          <a:ext cx="5327650" cy="1434940"/>
        </a:xfrm>
        <a:prstGeom prst="rect">
          <a:avLst/>
        </a:prstGeom>
      </xdr:spPr>
    </xdr:pic>
    <xdr:clientData/>
  </xdr:twoCellAnchor>
  <xdr:twoCellAnchor editAs="oneCell">
    <xdr:from>
      <xdr:col>1</xdr:col>
      <xdr:colOff>209550</xdr:colOff>
      <xdr:row>94</xdr:row>
      <xdr:rowOff>47625</xdr:rowOff>
    </xdr:from>
    <xdr:to>
      <xdr:col>1</xdr:col>
      <xdr:colOff>1427751</xdr:colOff>
      <xdr:row>95</xdr:row>
      <xdr:rowOff>53976</xdr:rowOff>
    </xdr:to>
    <xdr:pic>
      <xdr:nvPicPr>
        <xdr:cNvPr id="8" name="Picture 7">
          <a:extLst>
            <a:ext uri="{FF2B5EF4-FFF2-40B4-BE49-F238E27FC236}">
              <a16:creationId xmlns:a16="http://schemas.microsoft.com/office/drawing/2014/main" id="{1F3A8AED-212F-48AD-B3CF-1ACEDB0EC7FF}"/>
            </a:ext>
          </a:extLst>
        </xdr:cNvPr>
        <xdr:cNvPicPr>
          <a:picLocks noChangeAspect="1"/>
        </xdr:cNvPicPr>
      </xdr:nvPicPr>
      <xdr:blipFill>
        <a:blip xmlns:r="http://schemas.openxmlformats.org/officeDocument/2006/relationships" r:embed="rId5"/>
        <a:stretch>
          <a:fillRect/>
        </a:stretch>
      </xdr:blipFill>
      <xdr:spPr>
        <a:xfrm>
          <a:off x="390525" y="35972750"/>
          <a:ext cx="1226456" cy="2476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914400</xdr:colOff>
      <xdr:row>0</xdr:row>
      <xdr:rowOff>15240</xdr:rowOff>
    </xdr:from>
    <xdr:to>
      <xdr:col>18</xdr:col>
      <xdr:colOff>3072</xdr:colOff>
      <xdr:row>4</xdr:row>
      <xdr:rowOff>2383</xdr:rowOff>
    </xdr:to>
    <xdr:pic>
      <xdr:nvPicPr>
        <xdr:cNvPr id="3" name="Picture 2">
          <a:extLst>
            <a:ext uri="{FF2B5EF4-FFF2-40B4-BE49-F238E27FC236}">
              <a16:creationId xmlns:a16="http://schemas.microsoft.com/office/drawing/2014/main" id="{244E840B-4092-4637-B04A-FE9A01CEC7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14935200" y="15240"/>
          <a:ext cx="1222272" cy="863443"/>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15</xdr:col>
      <xdr:colOff>62865</xdr:colOff>
      <xdr:row>4</xdr:row>
      <xdr:rowOff>133350</xdr:rowOff>
    </xdr:from>
    <xdr:to>
      <xdr:col>17</xdr:col>
      <xdr:colOff>85090</xdr:colOff>
      <xdr:row>10</xdr:row>
      <xdr:rowOff>56916</xdr:rowOff>
    </xdr:to>
    <xdr:pic>
      <xdr:nvPicPr>
        <xdr:cNvPr id="2" name="Picture 3">
          <a:extLst>
            <a:ext uri="{FF2B5EF4-FFF2-40B4-BE49-F238E27FC236}">
              <a16:creationId xmlns:a16="http://schemas.microsoft.com/office/drawing/2014/main" id="{4A1B8D2D-3E82-7884-0400-662465B1539F}"/>
            </a:ext>
          </a:extLst>
        </xdr:cNvPr>
        <xdr:cNvPicPr>
          <a:picLocks noChangeAspect="1"/>
        </xdr:cNvPicPr>
      </xdr:nvPicPr>
      <xdr:blipFill>
        <a:blip xmlns:r="http://schemas.openxmlformats.org/officeDocument/2006/relationships" r:embed="rId2"/>
        <a:stretch>
          <a:fillRect/>
        </a:stretch>
      </xdr:blipFill>
      <xdr:spPr>
        <a:xfrm>
          <a:off x="13702665" y="1028700"/>
          <a:ext cx="1975485" cy="146661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1021715</xdr:colOff>
      <xdr:row>0</xdr:row>
      <xdr:rowOff>0</xdr:rowOff>
    </xdr:from>
    <xdr:to>
      <xdr:col>15</xdr:col>
      <xdr:colOff>182245</xdr:colOff>
      <xdr:row>4</xdr:row>
      <xdr:rowOff>88548</xdr:rowOff>
    </xdr:to>
    <xdr:pic>
      <xdr:nvPicPr>
        <xdr:cNvPr id="6" name="Picture 1">
          <a:extLst>
            <a:ext uri="{FF2B5EF4-FFF2-40B4-BE49-F238E27FC236}">
              <a16:creationId xmlns:a16="http://schemas.microsoft.com/office/drawing/2014/main" id="{36AB48FF-1186-4A85-8A8C-6DBE24B137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15118715" y="0"/>
          <a:ext cx="1300480" cy="1006123"/>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12</xdr:col>
      <xdr:colOff>34925</xdr:colOff>
      <xdr:row>1</xdr:row>
      <xdr:rowOff>247650</xdr:rowOff>
    </xdr:from>
    <xdr:to>
      <xdr:col>13</xdr:col>
      <xdr:colOff>815975</xdr:colOff>
      <xdr:row>5</xdr:row>
      <xdr:rowOff>682634</xdr:rowOff>
    </xdr:to>
    <xdr:pic>
      <xdr:nvPicPr>
        <xdr:cNvPr id="7" name="Picture 3">
          <a:extLst>
            <a:ext uri="{FF2B5EF4-FFF2-40B4-BE49-F238E27FC236}">
              <a16:creationId xmlns:a16="http://schemas.microsoft.com/office/drawing/2014/main" id="{D58D8D33-7A9A-3CC9-39C4-737AA37057F5}"/>
            </a:ext>
          </a:extLst>
        </xdr:cNvPr>
        <xdr:cNvPicPr>
          <a:picLocks noChangeAspect="1"/>
        </xdr:cNvPicPr>
      </xdr:nvPicPr>
      <xdr:blipFill>
        <a:blip xmlns:r="http://schemas.openxmlformats.org/officeDocument/2006/relationships" r:embed="rId2"/>
        <a:stretch>
          <a:fillRect/>
        </a:stretch>
      </xdr:blipFill>
      <xdr:spPr>
        <a:xfrm>
          <a:off x="13265150" y="447675"/>
          <a:ext cx="1857375" cy="138811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17</xdr:col>
      <xdr:colOff>296545</xdr:colOff>
      <xdr:row>0</xdr:row>
      <xdr:rowOff>133350</xdr:rowOff>
    </xdr:from>
    <xdr:to>
      <xdr:col>20</xdr:col>
      <xdr:colOff>515620</xdr:colOff>
      <xdr:row>8</xdr:row>
      <xdr:rowOff>55128</xdr:rowOff>
    </xdr:to>
    <xdr:pic>
      <xdr:nvPicPr>
        <xdr:cNvPr id="6" name="Picture 1">
          <a:extLst>
            <a:ext uri="{FF2B5EF4-FFF2-40B4-BE49-F238E27FC236}">
              <a16:creationId xmlns:a16="http://schemas.microsoft.com/office/drawing/2014/main" id="{6AAD66EF-5234-423D-A9CA-46EB86829673}"/>
            </a:ext>
          </a:extLst>
        </xdr:cNvPr>
        <xdr:cNvPicPr>
          <a:picLocks noChangeAspect="1"/>
        </xdr:cNvPicPr>
      </xdr:nvPicPr>
      <xdr:blipFill>
        <a:blip xmlns:r="http://schemas.openxmlformats.org/officeDocument/2006/relationships" r:embed="rId1"/>
        <a:stretch>
          <a:fillRect/>
        </a:stretch>
      </xdr:blipFill>
      <xdr:spPr>
        <a:xfrm>
          <a:off x="11297920" y="133350"/>
          <a:ext cx="2189480" cy="1474988"/>
        </a:xfrm>
        <a:prstGeom prst="rect">
          <a:avLst/>
        </a:prstGeom>
      </xdr:spPr>
    </xdr:pic>
    <xdr:clientData/>
  </xdr:twoCellAnchor>
  <xdr:twoCellAnchor editAs="oneCell">
    <xdr:from>
      <xdr:col>14</xdr:col>
      <xdr:colOff>533400</xdr:colOff>
      <xdr:row>0</xdr:row>
      <xdr:rowOff>0</xdr:rowOff>
    </xdr:from>
    <xdr:to>
      <xdr:col>16</xdr:col>
      <xdr:colOff>605790</xdr:colOff>
      <xdr:row>5</xdr:row>
      <xdr:rowOff>15523</xdr:rowOff>
    </xdr:to>
    <xdr:pic>
      <xdr:nvPicPr>
        <xdr:cNvPr id="9" name="Picture 2">
          <a:extLst>
            <a:ext uri="{FF2B5EF4-FFF2-40B4-BE49-F238E27FC236}">
              <a16:creationId xmlns:a16="http://schemas.microsoft.com/office/drawing/2014/main" id="{7BA3E04F-4BF7-4635-AAA5-377579ADFC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28281"/>
        <a:stretch>
          <a:fillRect/>
        </a:stretch>
      </xdr:blipFill>
      <xdr:spPr bwMode="auto">
        <a:xfrm>
          <a:off x="9629775" y="0"/>
          <a:ext cx="1291590" cy="1025173"/>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7620</xdr:colOff>
      <xdr:row>3</xdr:row>
      <xdr:rowOff>228600</xdr:rowOff>
    </xdr:from>
    <xdr:to>
      <xdr:col>9</xdr:col>
      <xdr:colOff>704850</xdr:colOff>
      <xdr:row>12</xdr:row>
      <xdr:rowOff>94498</xdr:rowOff>
    </xdr:to>
    <xdr:pic>
      <xdr:nvPicPr>
        <xdr:cNvPr id="3" name="Picture 2">
          <a:extLst>
            <a:ext uri="{FF2B5EF4-FFF2-40B4-BE49-F238E27FC236}">
              <a16:creationId xmlns:a16="http://schemas.microsoft.com/office/drawing/2014/main" id="{EF5660D4-E7BA-4DDD-2823-8EC9E9D876A2}"/>
            </a:ext>
          </a:extLst>
        </xdr:cNvPr>
        <xdr:cNvPicPr>
          <a:picLocks noChangeAspect="1"/>
        </xdr:cNvPicPr>
      </xdr:nvPicPr>
      <xdr:blipFill>
        <a:blip xmlns:r="http://schemas.openxmlformats.org/officeDocument/2006/relationships" r:embed="rId1"/>
        <a:stretch>
          <a:fillRect/>
        </a:stretch>
      </xdr:blipFill>
      <xdr:spPr>
        <a:xfrm>
          <a:off x="11010900" y="891540"/>
          <a:ext cx="2179320" cy="1561348"/>
        </a:xfrm>
        <a:prstGeom prst="rect">
          <a:avLst/>
        </a:prstGeom>
      </xdr:spPr>
    </xdr:pic>
    <xdr:clientData/>
  </xdr:twoCellAnchor>
  <xdr:twoCellAnchor editAs="oneCell">
    <xdr:from>
      <xdr:col>16</xdr:col>
      <xdr:colOff>30480</xdr:colOff>
      <xdr:row>0</xdr:row>
      <xdr:rowOff>0</xdr:rowOff>
    </xdr:from>
    <xdr:to>
      <xdr:col>18</xdr:col>
      <xdr:colOff>636</xdr:colOff>
      <xdr:row>4</xdr:row>
      <xdr:rowOff>497</xdr:rowOff>
    </xdr:to>
    <xdr:pic>
      <xdr:nvPicPr>
        <xdr:cNvPr id="4" name="Picture 1">
          <a:extLst>
            <a:ext uri="{FF2B5EF4-FFF2-40B4-BE49-F238E27FC236}">
              <a16:creationId xmlns:a16="http://schemas.microsoft.com/office/drawing/2014/main" id="{13C3BA92-059E-45A5-880D-43629B1BAA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28281"/>
        <a:stretch>
          <a:fillRect/>
        </a:stretch>
      </xdr:blipFill>
      <xdr:spPr bwMode="auto">
        <a:xfrm>
          <a:off x="19128105" y="0"/>
          <a:ext cx="1189356" cy="886322"/>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541020</xdr:colOff>
      <xdr:row>0</xdr:row>
      <xdr:rowOff>9525</xdr:rowOff>
    </xdr:from>
    <xdr:to>
      <xdr:col>16</xdr:col>
      <xdr:colOff>180237</xdr:colOff>
      <xdr:row>3</xdr:row>
      <xdr:rowOff>206853</xdr:rowOff>
    </xdr:to>
    <xdr:pic>
      <xdr:nvPicPr>
        <xdr:cNvPr id="3" name="Picture 2">
          <a:extLst>
            <a:ext uri="{FF2B5EF4-FFF2-40B4-BE49-F238E27FC236}">
              <a16:creationId xmlns:a16="http://schemas.microsoft.com/office/drawing/2014/main" id="{37663BD2-A80E-42DC-9678-AE64E58CA1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24001095" y="9525"/>
          <a:ext cx="1191792" cy="902178"/>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1</xdr:col>
      <xdr:colOff>551181</xdr:colOff>
      <xdr:row>7</xdr:row>
      <xdr:rowOff>133831</xdr:rowOff>
    </xdr:from>
    <xdr:to>
      <xdr:col>4</xdr:col>
      <xdr:colOff>21553</xdr:colOff>
      <xdr:row>30</xdr:row>
      <xdr:rowOff>170180</xdr:rowOff>
    </xdr:to>
    <xdr:graphicFrame macro="">
      <xdr:nvGraphicFramePr>
        <xdr:cNvPr id="5" name="Chart 4">
          <a:extLst>
            <a:ext uri="{FF2B5EF4-FFF2-40B4-BE49-F238E27FC236}">
              <a16:creationId xmlns:a16="http://schemas.microsoft.com/office/drawing/2014/main" id="{798C06BB-A1C4-4F7C-A364-8B98C2339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402553</xdr:colOff>
      <xdr:row>7</xdr:row>
      <xdr:rowOff>94635</xdr:rowOff>
    </xdr:from>
    <xdr:to>
      <xdr:col>7</xdr:col>
      <xdr:colOff>15651</xdr:colOff>
      <xdr:row>31</xdr:row>
      <xdr:rowOff>19686</xdr:rowOff>
    </xdr:to>
    <xdr:graphicFrame macro="">
      <xdr:nvGraphicFramePr>
        <xdr:cNvPr id="10" name="Chart 9">
          <a:extLst>
            <a:ext uri="{FF2B5EF4-FFF2-40B4-BE49-F238E27FC236}">
              <a16:creationId xmlns:a16="http://schemas.microsoft.com/office/drawing/2014/main" id="{EAD3FFB6-D200-417D-AF41-DB765C375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435983</xdr:colOff>
      <xdr:row>7</xdr:row>
      <xdr:rowOff>136229</xdr:rowOff>
    </xdr:from>
    <xdr:to>
      <xdr:col>16</xdr:col>
      <xdr:colOff>21776</xdr:colOff>
      <xdr:row>31</xdr:row>
      <xdr:rowOff>133985</xdr:rowOff>
    </xdr:to>
    <xdr:graphicFrame macro="">
      <xdr:nvGraphicFramePr>
        <xdr:cNvPr id="11" name="Chart 10">
          <a:extLst>
            <a:ext uri="{FF2B5EF4-FFF2-40B4-BE49-F238E27FC236}">
              <a16:creationId xmlns:a16="http://schemas.microsoft.com/office/drawing/2014/main" id="{E25EDE5B-ACD8-4FBA-9130-87A8F345D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1060158</xdr:colOff>
      <xdr:row>0</xdr:row>
      <xdr:rowOff>0</xdr:rowOff>
    </xdr:from>
    <xdr:to>
      <xdr:col>21</xdr:col>
      <xdr:colOff>2154</xdr:colOff>
      <xdr:row>2</xdr:row>
      <xdr:rowOff>421595</xdr:rowOff>
    </xdr:to>
    <xdr:pic>
      <xdr:nvPicPr>
        <xdr:cNvPr id="2" name="Picture 11">
          <a:extLst>
            <a:ext uri="{FF2B5EF4-FFF2-40B4-BE49-F238E27FC236}">
              <a16:creationId xmlns:a16="http://schemas.microsoft.com/office/drawing/2014/main" id="{02AD2826-A742-46D9-97D3-397E146C093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28281"/>
        <a:stretch>
          <a:fillRect/>
        </a:stretch>
      </xdr:blipFill>
      <xdr:spPr bwMode="auto">
        <a:xfrm>
          <a:off x="23491533" y="0"/>
          <a:ext cx="1227996" cy="888320"/>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absolute">
    <xdr:from>
      <xdr:col>11</xdr:col>
      <xdr:colOff>0</xdr:colOff>
      <xdr:row>7</xdr:row>
      <xdr:rowOff>130739</xdr:rowOff>
    </xdr:from>
    <xdr:to>
      <xdr:col>13</xdr:col>
      <xdr:colOff>22822</xdr:colOff>
      <xdr:row>31</xdr:row>
      <xdr:rowOff>135256</xdr:rowOff>
    </xdr:to>
    <xdr:graphicFrame macro="">
      <xdr:nvGraphicFramePr>
        <xdr:cNvPr id="13" name="Chart 12">
          <a:extLst>
            <a:ext uri="{FF2B5EF4-FFF2-40B4-BE49-F238E27FC236}">
              <a16:creationId xmlns:a16="http://schemas.microsoft.com/office/drawing/2014/main" id="{6F9F0BAA-282E-4E94-B857-5E57C5030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1086968</xdr:colOff>
      <xdr:row>27</xdr:row>
      <xdr:rowOff>134468</xdr:rowOff>
    </xdr:from>
    <xdr:to>
      <xdr:col>3</xdr:col>
      <xdr:colOff>1714496</xdr:colOff>
      <xdr:row>30</xdr:row>
      <xdr:rowOff>190496</xdr:rowOff>
    </xdr:to>
    <xdr:pic>
      <xdr:nvPicPr>
        <xdr:cNvPr id="19" name="Graphic 18" descr="Production with solid fill">
          <a:extLst>
            <a:ext uri="{FF2B5EF4-FFF2-40B4-BE49-F238E27FC236}">
              <a16:creationId xmlns:a16="http://schemas.microsoft.com/office/drawing/2014/main" id="{B3CE8F81-BC28-40FB-B584-49CA271F508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541056" y="7227792"/>
          <a:ext cx="627528" cy="627528"/>
        </a:xfrm>
        <a:prstGeom prst="rect">
          <a:avLst/>
        </a:prstGeom>
      </xdr:spPr>
    </xdr:pic>
    <xdr:clientData/>
  </xdr:twoCellAnchor>
  <xdr:twoCellAnchor editAs="oneCell">
    <xdr:from>
      <xdr:col>6</xdr:col>
      <xdr:colOff>1071279</xdr:colOff>
      <xdr:row>27</xdr:row>
      <xdr:rowOff>129985</xdr:rowOff>
    </xdr:from>
    <xdr:to>
      <xdr:col>6</xdr:col>
      <xdr:colOff>1698172</xdr:colOff>
      <xdr:row>30</xdr:row>
      <xdr:rowOff>175218</xdr:rowOff>
    </xdr:to>
    <xdr:pic>
      <xdr:nvPicPr>
        <xdr:cNvPr id="26" name="Graphic 25" descr="Production with solid fill">
          <a:extLst>
            <a:ext uri="{FF2B5EF4-FFF2-40B4-BE49-F238E27FC236}">
              <a16:creationId xmlns:a16="http://schemas.microsoft.com/office/drawing/2014/main" id="{F9FA2A63-9D0D-4506-9B25-CC75F4111BE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405404" y="7149910"/>
          <a:ext cx="627528" cy="627528"/>
        </a:xfrm>
        <a:prstGeom prst="rect">
          <a:avLst/>
        </a:prstGeom>
      </xdr:spPr>
    </xdr:pic>
    <xdr:clientData/>
  </xdr:twoCellAnchor>
  <xdr:twoCellAnchor editAs="oneCell">
    <xdr:from>
      <xdr:col>12</xdr:col>
      <xdr:colOff>1116107</xdr:colOff>
      <xdr:row>27</xdr:row>
      <xdr:rowOff>129985</xdr:rowOff>
    </xdr:from>
    <xdr:to>
      <xdr:col>12</xdr:col>
      <xdr:colOff>1699187</xdr:colOff>
      <xdr:row>30</xdr:row>
      <xdr:rowOff>137120</xdr:rowOff>
    </xdr:to>
    <xdr:pic>
      <xdr:nvPicPr>
        <xdr:cNvPr id="27" name="Graphic 26" descr="Globe with solid fill">
          <a:extLst>
            <a:ext uri="{FF2B5EF4-FFF2-40B4-BE49-F238E27FC236}">
              <a16:creationId xmlns:a16="http://schemas.microsoft.com/office/drawing/2014/main" id="{566E6CFD-FD94-4EFF-869E-53E06B5EDA1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1324666" y="7223309"/>
          <a:ext cx="589430" cy="589430"/>
        </a:xfrm>
        <a:prstGeom prst="rect">
          <a:avLst/>
        </a:prstGeom>
      </xdr:spPr>
    </xdr:pic>
    <xdr:clientData/>
  </xdr:twoCellAnchor>
  <xdr:twoCellAnchor editAs="oneCell">
    <xdr:from>
      <xdr:col>15</xdr:col>
      <xdr:colOff>1145243</xdr:colOff>
      <xdr:row>27</xdr:row>
      <xdr:rowOff>125502</xdr:rowOff>
    </xdr:from>
    <xdr:to>
      <xdr:col>16</xdr:col>
      <xdr:colOff>19762</xdr:colOff>
      <xdr:row>30</xdr:row>
      <xdr:rowOff>137082</xdr:rowOff>
    </xdr:to>
    <xdr:pic>
      <xdr:nvPicPr>
        <xdr:cNvPr id="28" name="Graphic 27" descr="Globe with solid fill">
          <a:extLst>
            <a:ext uri="{FF2B5EF4-FFF2-40B4-BE49-F238E27FC236}">
              <a16:creationId xmlns:a16="http://schemas.microsoft.com/office/drawing/2014/main" id="{2A517B06-233D-4D1D-BC85-186CC6189CF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231037" y="7218826"/>
          <a:ext cx="589430" cy="589430"/>
        </a:xfrm>
        <a:prstGeom prst="rect">
          <a:avLst/>
        </a:prstGeom>
      </xdr:spPr>
    </xdr:pic>
    <xdr:clientData/>
  </xdr:twoCellAnchor>
  <xdr:oneCellAnchor>
    <xdr:from>
      <xdr:col>9</xdr:col>
      <xdr:colOff>1071279</xdr:colOff>
      <xdr:row>27</xdr:row>
      <xdr:rowOff>129985</xdr:rowOff>
    </xdr:from>
    <xdr:ext cx="627528" cy="627528"/>
    <xdr:pic>
      <xdr:nvPicPr>
        <xdr:cNvPr id="14" name="Graphic 13" descr="Production with solid fill">
          <a:extLst>
            <a:ext uri="{FF2B5EF4-FFF2-40B4-BE49-F238E27FC236}">
              <a16:creationId xmlns:a16="http://schemas.microsoft.com/office/drawing/2014/main" id="{9C38E9A1-E14A-4BD2-A9F2-200D7A725BC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405404" y="7149910"/>
          <a:ext cx="627528" cy="627528"/>
        </a:xfrm>
        <a:prstGeom prst="rect">
          <a:avLst/>
        </a:prstGeom>
      </xdr:spPr>
    </xdr:pic>
    <xdr:clientData/>
  </xdr:oneCellAnchor>
  <xdr:oneCellAnchor>
    <xdr:from>
      <xdr:col>18</xdr:col>
      <xdr:colOff>1145243</xdr:colOff>
      <xdr:row>27</xdr:row>
      <xdr:rowOff>125502</xdr:rowOff>
    </xdr:from>
    <xdr:ext cx="591559" cy="593240"/>
    <xdr:pic>
      <xdr:nvPicPr>
        <xdr:cNvPr id="15" name="Graphic 14" descr="Globe with solid fill">
          <a:extLst>
            <a:ext uri="{FF2B5EF4-FFF2-40B4-BE49-F238E27FC236}">
              <a16:creationId xmlns:a16="http://schemas.microsoft.com/office/drawing/2014/main" id="{235F9154-251A-4B73-A2F6-6BB6D1767A7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9109393" y="7145427"/>
          <a:ext cx="591559" cy="593240"/>
        </a:xfrm>
        <a:prstGeom prst="rect">
          <a:avLst/>
        </a:prstGeom>
      </xdr:spPr>
    </xdr:pic>
    <xdr:clientData/>
  </xdr:oneCellAnchor>
  <xdr:twoCellAnchor editAs="absolute">
    <xdr:from>
      <xdr:col>17</xdr:col>
      <xdr:colOff>0</xdr:colOff>
      <xdr:row>7</xdr:row>
      <xdr:rowOff>133351</xdr:rowOff>
    </xdr:from>
    <xdr:to>
      <xdr:col>19</xdr:col>
      <xdr:colOff>35192</xdr:colOff>
      <xdr:row>31</xdr:row>
      <xdr:rowOff>133350</xdr:rowOff>
    </xdr:to>
    <xdr:graphicFrame macro="">
      <xdr:nvGraphicFramePr>
        <xdr:cNvPr id="16" name="Chart 15">
          <a:extLst>
            <a:ext uri="{FF2B5EF4-FFF2-40B4-BE49-F238E27FC236}">
              <a16:creationId xmlns:a16="http://schemas.microsoft.com/office/drawing/2014/main" id="{535861FD-9CF8-4AAB-9B9B-129DE5338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7</xdr:col>
      <xdr:colOff>421821</xdr:colOff>
      <xdr:row>7</xdr:row>
      <xdr:rowOff>133351</xdr:rowOff>
    </xdr:from>
    <xdr:to>
      <xdr:col>10</xdr:col>
      <xdr:colOff>21585</xdr:colOff>
      <xdr:row>30</xdr:row>
      <xdr:rowOff>170180</xdr:rowOff>
    </xdr:to>
    <xdr:graphicFrame macro="">
      <xdr:nvGraphicFramePr>
        <xdr:cNvPr id="17" name="Chart 16">
          <a:extLst>
            <a:ext uri="{FF2B5EF4-FFF2-40B4-BE49-F238E27FC236}">
              <a16:creationId xmlns:a16="http://schemas.microsoft.com/office/drawing/2014/main" id="{39BA9591-0B1D-4A8A-9E98-62F265B64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678180</xdr:colOff>
      <xdr:row>0</xdr:row>
      <xdr:rowOff>1905</xdr:rowOff>
    </xdr:from>
    <xdr:to>
      <xdr:col>10</xdr:col>
      <xdr:colOff>179602</xdr:colOff>
      <xdr:row>3</xdr:row>
      <xdr:rowOff>189708</xdr:rowOff>
    </xdr:to>
    <xdr:pic>
      <xdr:nvPicPr>
        <xdr:cNvPr id="4" name="Picture 2">
          <a:extLst>
            <a:ext uri="{FF2B5EF4-FFF2-40B4-BE49-F238E27FC236}">
              <a16:creationId xmlns:a16="http://schemas.microsoft.com/office/drawing/2014/main" id="{B5D01A6D-964F-4EEC-A63E-7A6FF2F811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16080105" y="1905"/>
          <a:ext cx="1206397" cy="892653"/>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524510</xdr:colOff>
      <xdr:row>0</xdr:row>
      <xdr:rowOff>0</xdr:rowOff>
    </xdr:from>
    <xdr:to>
      <xdr:col>17</xdr:col>
      <xdr:colOff>1802</xdr:colOff>
      <xdr:row>3</xdr:row>
      <xdr:rowOff>190978</xdr:rowOff>
    </xdr:to>
    <xdr:pic>
      <xdr:nvPicPr>
        <xdr:cNvPr id="4" name="Picture 1">
          <a:extLst>
            <a:ext uri="{FF2B5EF4-FFF2-40B4-BE49-F238E27FC236}">
              <a16:creationId xmlns:a16="http://schemas.microsoft.com/office/drawing/2014/main" id="{C0814341-1CEA-453C-84D8-D75FA59888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23079710" y="0"/>
          <a:ext cx="1210842" cy="895828"/>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548641</xdr:colOff>
      <xdr:row>7</xdr:row>
      <xdr:rowOff>238605</xdr:rowOff>
    </xdr:from>
    <xdr:to>
      <xdr:col>4</xdr:col>
      <xdr:colOff>22188</xdr:colOff>
      <xdr:row>30</xdr:row>
      <xdr:rowOff>28575</xdr:rowOff>
    </xdr:to>
    <xdr:graphicFrame macro="">
      <xdr:nvGraphicFramePr>
        <xdr:cNvPr id="2" name="Chart 1">
          <a:extLst>
            <a:ext uri="{FF2B5EF4-FFF2-40B4-BE49-F238E27FC236}">
              <a16:creationId xmlns:a16="http://schemas.microsoft.com/office/drawing/2014/main" id="{D4679239-FCFB-425F-BAD8-044DC270F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416523</xdr:colOff>
      <xdr:row>7</xdr:row>
      <xdr:rowOff>131464</xdr:rowOff>
    </xdr:from>
    <xdr:to>
      <xdr:col>7</xdr:col>
      <xdr:colOff>20731</xdr:colOff>
      <xdr:row>30</xdr:row>
      <xdr:rowOff>62865</xdr:rowOff>
    </xdr:to>
    <xdr:graphicFrame macro="">
      <xdr:nvGraphicFramePr>
        <xdr:cNvPr id="3" name="Chart 2">
          <a:extLst>
            <a:ext uri="{FF2B5EF4-FFF2-40B4-BE49-F238E27FC236}">
              <a16:creationId xmlns:a16="http://schemas.microsoft.com/office/drawing/2014/main" id="{97CA8556-5DEC-4BB2-B5EF-C9F7B3168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14</xdr:col>
      <xdr:colOff>284853</xdr:colOff>
      <xdr:row>7</xdr:row>
      <xdr:rowOff>258784</xdr:rowOff>
    </xdr:from>
    <xdr:to>
      <xdr:col>16</xdr:col>
      <xdr:colOff>402141</xdr:colOff>
      <xdr:row>32</xdr:row>
      <xdr:rowOff>177473</xdr:rowOff>
    </xdr:to>
    <xdr:graphicFrame macro="">
      <xdr:nvGraphicFramePr>
        <xdr:cNvPr id="18" name="Chart 3">
          <a:extLst>
            <a:ext uri="{FF2B5EF4-FFF2-40B4-BE49-F238E27FC236}">
              <a16:creationId xmlns:a16="http://schemas.microsoft.com/office/drawing/2014/main" id="{4F71B19B-3AF8-416A-91C4-5AD008990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1050633</xdr:colOff>
      <xdr:row>0</xdr:row>
      <xdr:rowOff>5715</xdr:rowOff>
    </xdr:from>
    <xdr:to>
      <xdr:col>21</xdr:col>
      <xdr:colOff>2789</xdr:colOff>
      <xdr:row>3</xdr:row>
      <xdr:rowOff>6940</xdr:rowOff>
    </xdr:to>
    <xdr:pic>
      <xdr:nvPicPr>
        <xdr:cNvPr id="16" name="Picture 4">
          <a:extLst>
            <a:ext uri="{FF2B5EF4-FFF2-40B4-BE49-F238E27FC236}">
              <a16:creationId xmlns:a16="http://schemas.microsoft.com/office/drawing/2014/main" id="{4AA702EE-A6A6-4E74-AF2C-8F84B135BEC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28281"/>
        <a:stretch>
          <a:fillRect/>
        </a:stretch>
      </xdr:blipFill>
      <xdr:spPr bwMode="auto">
        <a:xfrm>
          <a:off x="23482008" y="5715"/>
          <a:ext cx="1238156" cy="887050"/>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absolute">
    <xdr:from>
      <xdr:col>11</xdr:col>
      <xdr:colOff>38100</xdr:colOff>
      <xdr:row>7</xdr:row>
      <xdr:rowOff>297744</xdr:rowOff>
    </xdr:from>
    <xdr:to>
      <xdr:col>13</xdr:col>
      <xdr:colOff>60287</xdr:colOff>
      <xdr:row>29</xdr:row>
      <xdr:rowOff>177166</xdr:rowOff>
    </xdr:to>
    <xdr:graphicFrame macro="">
      <xdr:nvGraphicFramePr>
        <xdr:cNvPr id="6" name="Chart 5">
          <a:extLst>
            <a:ext uri="{FF2B5EF4-FFF2-40B4-BE49-F238E27FC236}">
              <a16:creationId xmlns:a16="http://schemas.microsoft.com/office/drawing/2014/main" id="{6BCBF3C5-C19A-499D-A8B8-391E8AE56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1086968</xdr:colOff>
      <xdr:row>28</xdr:row>
      <xdr:rowOff>134468</xdr:rowOff>
    </xdr:from>
    <xdr:to>
      <xdr:col>3</xdr:col>
      <xdr:colOff>1714496</xdr:colOff>
      <xdr:row>31</xdr:row>
      <xdr:rowOff>190496</xdr:rowOff>
    </xdr:to>
    <xdr:pic>
      <xdr:nvPicPr>
        <xdr:cNvPr id="7" name="Graphic 6" descr="Production with solid fill">
          <a:extLst>
            <a:ext uri="{FF2B5EF4-FFF2-40B4-BE49-F238E27FC236}">
              <a16:creationId xmlns:a16="http://schemas.microsoft.com/office/drawing/2014/main" id="{94BB00B0-FD21-46F1-8810-1FAF3D55465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544418" y="7068668"/>
          <a:ext cx="627528" cy="627528"/>
        </a:xfrm>
        <a:prstGeom prst="rect">
          <a:avLst/>
        </a:prstGeom>
      </xdr:spPr>
    </xdr:pic>
    <xdr:clientData/>
  </xdr:twoCellAnchor>
  <xdr:twoCellAnchor editAs="oneCell">
    <xdr:from>
      <xdr:col>6</xdr:col>
      <xdr:colOff>1071279</xdr:colOff>
      <xdr:row>28</xdr:row>
      <xdr:rowOff>129985</xdr:rowOff>
    </xdr:from>
    <xdr:to>
      <xdr:col>6</xdr:col>
      <xdr:colOff>1694997</xdr:colOff>
      <xdr:row>31</xdr:row>
      <xdr:rowOff>174583</xdr:rowOff>
    </xdr:to>
    <xdr:pic>
      <xdr:nvPicPr>
        <xdr:cNvPr id="8" name="Graphic 7" descr="Production with solid fill">
          <a:extLst>
            <a:ext uri="{FF2B5EF4-FFF2-40B4-BE49-F238E27FC236}">
              <a16:creationId xmlns:a16="http://schemas.microsoft.com/office/drawing/2014/main" id="{855E9E93-A7FD-4711-8EC5-63F9933C416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405404" y="7064185"/>
          <a:ext cx="627528" cy="627528"/>
        </a:xfrm>
        <a:prstGeom prst="rect">
          <a:avLst/>
        </a:prstGeom>
      </xdr:spPr>
    </xdr:pic>
    <xdr:clientData/>
  </xdr:twoCellAnchor>
  <xdr:twoCellAnchor editAs="oneCell">
    <xdr:from>
      <xdr:col>12</xdr:col>
      <xdr:colOff>1116107</xdr:colOff>
      <xdr:row>28</xdr:row>
      <xdr:rowOff>129985</xdr:rowOff>
    </xdr:from>
    <xdr:to>
      <xdr:col>12</xdr:col>
      <xdr:colOff>1711252</xdr:colOff>
      <xdr:row>31</xdr:row>
      <xdr:rowOff>136485</xdr:rowOff>
    </xdr:to>
    <xdr:pic>
      <xdr:nvPicPr>
        <xdr:cNvPr id="9" name="Graphic 8" descr="Globe with solid fill">
          <a:extLst>
            <a:ext uri="{FF2B5EF4-FFF2-40B4-BE49-F238E27FC236}">
              <a16:creationId xmlns:a16="http://schemas.microsoft.com/office/drawing/2014/main" id="{52E609AA-E0E9-4DF5-869D-765BDA305E3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203582" y="7064185"/>
          <a:ext cx="593240" cy="589430"/>
        </a:xfrm>
        <a:prstGeom prst="rect">
          <a:avLst/>
        </a:prstGeom>
      </xdr:spPr>
    </xdr:pic>
    <xdr:clientData/>
  </xdr:twoCellAnchor>
  <xdr:twoCellAnchor editAs="oneCell">
    <xdr:from>
      <xdr:col>15</xdr:col>
      <xdr:colOff>1145243</xdr:colOff>
      <xdr:row>28</xdr:row>
      <xdr:rowOff>125502</xdr:rowOff>
    </xdr:from>
    <xdr:to>
      <xdr:col>16</xdr:col>
      <xdr:colOff>18492</xdr:colOff>
      <xdr:row>31</xdr:row>
      <xdr:rowOff>149147</xdr:rowOff>
    </xdr:to>
    <xdr:pic>
      <xdr:nvPicPr>
        <xdr:cNvPr id="10" name="Graphic 9" descr="Globe with solid fill">
          <a:extLst>
            <a:ext uri="{FF2B5EF4-FFF2-40B4-BE49-F238E27FC236}">
              <a16:creationId xmlns:a16="http://schemas.microsoft.com/office/drawing/2014/main" id="{CF92049F-2AFC-45A1-8C66-41AA5181C25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9109393" y="7059702"/>
          <a:ext cx="591559" cy="593240"/>
        </a:xfrm>
        <a:prstGeom prst="rect">
          <a:avLst/>
        </a:prstGeom>
      </xdr:spPr>
    </xdr:pic>
    <xdr:clientData/>
  </xdr:twoCellAnchor>
  <xdr:oneCellAnchor>
    <xdr:from>
      <xdr:col>9</xdr:col>
      <xdr:colOff>1071279</xdr:colOff>
      <xdr:row>28</xdr:row>
      <xdr:rowOff>129985</xdr:rowOff>
    </xdr:from>
    <xdr:ext cx="627528" cy="627528"/>
    <xdr:pic>
      <xdr:nvPicPr>
        <xdr:cNvPr id="11" name="Graphic 10" descr="Production with solid fill">
          <a:extLst>
            <a:ext uri="{FF2B5EF4-FFF2-40B4-BE49-F238E27FC236}">
              <a16:creationId xmlns:a16="http://schemas.microsoft.com/office/drawing/2014/main" id="{3AD01613-CD4F-4BF0-8019-BFEA85E0150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282079" y="7064185"/>
          <a:ext cx="627528" cy="627528"/>
        </a:xfrm>
        <a:prstGeom prst="rect">
          <a:avLst/>
        </a:prstGeom>
      </xdr:spPr>
    </xdr:pic>
    <xdr:clientData/>
  </xdr:oneCellAnchor>
  <xdr:oneCellAnchor>
    <xdr:from>
      <xdr:col>18</xdr:col>
      <xdr:colOff>1145243</xdr:colOff>
      <xdr:row>28</xdr:row>
      <xdr:rowOff>125502</xdr:rowOff>
    </xdr:from>
    <xdr:ext cx="591559" cy="593240"/>
    <xdr:pic>
      <xdr:nvPicPr>
        <xdr:cNvPr id="12" name="Graphic 11" descr="Globe with solid fill">
          <a:extLst>
            <a:ext uri="{FF2B5EF4-FFF2-40B4-BE49-F238E27FC236}">
              <a16:creationId xmlns:a16="http://schemas.microsoft.com/office/drawing/2014/main" id="{43F7F046-415D-433C-80C7-599AF394017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2986068" y="7059702"/>
          <a:ext cx="591559" cy="593240"/>
        </a:xfrm>
        <a:prstGeom prst="rect">
          <a:avLst/>
        </a:prstGeom>
      </xdr:spPr>
    </xdr:pic>
    <xdr:clientData/>
  </xdr:oneCellAnchor>
  <xdr:twoCellAnchor editAs="absolute">
    <xdr:from>
      <xdr:col>17</xdr:col>
      <xdr:colOff>0</xdr:colOff>
      <xdr:row>7</xdr:row>
      <xdr:rowOff>238126</xdr:rowOff>
    </xdr:from>
    <xdr:to>
      <xdr:col>19</xdr:col>
      <xdr:colOff>22492</xdr:colOff>
      <xdr:row>32</xdr:row>
      <xdr:rowOff>146655</xdr:rowOff>
    </xdr:to>
    <xdr:graphicFrame macro="">
      <xdr:nvGraphicFramePr>
        <xdr:cNvPr id="13" name="Chart 12">
          <a:extLst>
            <a:ext uri="{FF2B5EF4-FFF2-40B4-BE49-F238E27FC236}">
              <a16:creationId xmlns:a16="http://schemas.microsoft.com/office/drawing/2014/main" id="{4DCB1D54-981F-4987-B04E-BE463C5F2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7</xdr:col>
      <xdr:colOff>421821</xdr:colOff>
      <xdr:row>7</xdr:row>
      <xdr:rowOff>238125</xdr:rowOff>
    </xdr:from>
    <xdr:to>
      <xdr:col>10</xdr:col>
      <xdr:colOff>18410</xdr:colOff>
      <xdr:row>30</xdr:row>
      <xdr:rowOff>28575</xdr:rowOff>
    </xdr:to>
    <xdr:graphicFrame macro="">
      <xdr:nvGraphicFramePr>
        <xdr:cNvPr id="14" name="Chart 13">
          <a:extLst>
            <a:ext uri="{FF2B5EF4-FFF2-40B4-BE49-F238E27FC236}">
              <a16:creationId xmlns:a16="http://schemas.microsoft.com/office/drawing/2014/main" id="{96455BD3-007D-4C6E-9F3C-C890E4D42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1177926</xdr:colOff>
      <xdr:row>2</xdr:row>
      <xdr:rowOff>82550</xdr:rowOff>
    </xdr:from>
    <xdr:to>
      <xdr:col>8</xdr:col>
      <xdr:colOff>1198880</xdr:colOff>
      <xdr:row>7</xdr:row>
      <xdr:rowOff>275827</xdr:rowOff>
    </xdr:to>
    <xdr:pic>
      <xdr:nvPicPr>
        <xdr:cNvPr id="7" name="Picture 1">
          <a:extLst>
            <a:ext uri="{FF2B5EF4-FFF2-40B4-BE49-F238E27FC236}">
              <a16:creationId xmlns:a16="http://schemas.microsoft.com/office/drawing/2014/main" id="{2A3CAFB6-3E80-48A2-9AFA-A62EC0A08993}"/>
            </a:ext>
          </a:extLst>
        </xdr:cNvPr>
        <xdr:cNvPicPr>
          <a:picLocks noChangeAspect="1"/>
        </xdr:cNvPicPr>
      </xdr:nvPicPr>
      <xdr:blipFill>
        <a:blip xmlns:r="http://schemas.openxmlformats.org/officeDocument/2006/relationships" r:embed="rId1"/>
        <a:stretch>
          <a:fillRect/>
        </a:stretch>
      </xdr:blipFill>
      <xdr:spPr>
        <a:xfrm>
          <a:off x="12160251" y="530225"/>
          <a:ext cx="1647824" cy="1156572"/>
        </a:xfrm>
        <a:prstGeom prst="rect">
          <a:avLst/>
        </a:prstGeom>
      </xdr:spPr>
    </xdr:pic>
    <xdr:clientData/>
  </xdr:twoCellAnchor>
  <xdr:twoCellAnchor editAs="oneCell">
    <xdr:from>
      <xdr:col>9</xdr:col>
      <xdr:colOff>1287780</xdr:colOff>
      <xdr:row>0</xdr:row>
      <xdr:rowOff>0</xdr:rowOff>
    </xdr:from>
    <xdr:to>
      <xdr:col>11</xdr:col>
      <xdr:colOff>6350</xdr:colOff>
      <xdr:row>4</xdr:row>
      <xdr:rowOff>122203</xdr:rowOff>
    </xdr:to>
    <xdr:pic>
      <xdr:nvPicPr>
        <xdr:cNvPr id="9" name="Picture 1">
          <a:extLst>
            <a:ext uri="{FF2B5EF4-FFF2-40B4-BE49-F238E27FC236}">
              <a16:creationId xmlns:a16="http://schemas.microsoft.com/office/drawing/2014/main" id="{13F17418-1535-421F-A738-39AD0F8CFF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28281"/>
        <a:stretch>
          <a:fillRect/>
        </a:stretch>
      </xdr:blipFill>
      <xdr:spPr bwMode="auto">
        <a:xfrm>
          <a:off x="15318105" y="0"/>
          <a:ext cx="1299845" cy="1008028"/>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10057</xdr:colOff>
      <xdr:row>3</xdr:row>
      <xdr:rowOff>173833</xdr:rowOff>
    </xdr:to>
    <xdr:pic>
      <xdr:nvPicPr>
        <xdr:cNvPr id="3" name="Picture 2">
          <a:extLst>
            <a:ext uri="{FF2B5EF4-FFF2-40B4-BE49-F238E27FC236}">
              <a16:creationId xmlns:a16="http://schemas.microsoft.com/office/drawing/2014/main" id="{95CACF87-FF2C-45A5-B68B-B6F6982C7B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11165205" y="0"/>
          <a:ext cx="1160677" cy="878683"/>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552449</xdr:colOff>
      <xdr:row>7</xdr:row>
      <xdr:rowOff>57149</xdr:rowOff>
    </xdr:from>
    <xdr:to>
      <xdr:col>2</xdr:col>
      <xdr:colOff>1647094</xdr:colOff>
      <xdr:row>9</xdr:row>
      <xdr:rowOff>38100</xdr:rowOff>
    </xdr:to>
    <xdr:pic>
      <xdr:nvPicPr>
        <xdr:cNvPr id="4" name="Picture 3">
          <a:extLst>
            <a:ext uri="{FF2B5EF4-FFF2-40B4-BE49-F238E27FC236}">
              <a16:creationId xmlns:a16="http://schemas.microsoft.com/office/drawing/2014/main" id="{F2D7A3FD-F554-4452-9BA1-7255EBFF78D1}"/>
            </a:ext>
          </a:extLst>
        </xdr:cNvPr>
        <xdr:cNvPicPr>
          <a:picLocks noChangeAspect="1"/>
        </xdr:cNvPicPr>
      </xdr:nvPicPr>
      <xdr:blipFill>
        <a:blip xmlns:r="http://schemas.openxmlformats.org/officeDocument/2006/relationships" r:embed="rId1"/>
        <a:stretch>
          <a:fillRect/>
        </a:stretch>
      </xdr:blipFill>
      <xdr:spPr>
        <a:xfrm>
          <a:off x="1781174" y="3009899"/>
          <a:ext cx="1094645" cy="504826"/>
        </a:xfrm>
        <a:prstGeom prst="rect">
          <a:avLst/>
        </a:prstGeom>
      </xdr:spPr>
    </xdr:pic>
    <xdr:clientData/>
  </xdr:twoCellAnchor>
  <xdr:twoCellAnchor editAs="oneCell">
    <xdr:from>
      <xdr:col>9</xdr:col>
      <xdr:colOff>608027</xdr:colOff>
      <xdr:row>0</xdr:row>
      <xdr:rowOff>1325</xdr:rowOff>
    </xdr:from>
    <xdr:to>
      <xdr:col>10</xdr:col>
      <xdr:colOff>216129</xdr:colOff>
      <xdr:row>3</xdr:row>
      <xdr:rowOff>173253</xdr:rowOff>
    </xdr:to>
    <xdr:pic>
      <xdr:nvPicPr>
        <xdr:cNvPr id="5" name="Picture 4">
          <a:extLst>
            <a:ext uri="{FF2B5EF4-FFF2-40B4-BE49-F238E27FC236}">
              <a16:creationId xmlns:a16="http://schemas.microsoft.com/office/drawing/2014/main" id="{B93C4233-D1CE-410D-A2C7-BA2CFDB4AD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28281"/>
        <a:stretch>
          <a:fillRect/>
        </a:stretch>
      </xdr:blipFill>
      <xdr:spPr bwMode="auto">
        <a:xfrm>
          <a:off x="11418902" y="1325"/>
          <a:ext cx="1160677" cy="876778"/>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11</xdr:col>
      <xdr:colOff>1112520</xdr:colOff>
      <xdr:row>0</xdr:row>
      <xdr:rowOff>0</xdr:rowOff>
    </xdr:from>
    <xdr:to>
      <xdr:col>12</xdr:col>
      <xdr:colOff>685</xdr:colOff>
      <xdr:row>3</xdr:row>
      <xdr:rowOff>194310</xdr:rowOff>
    </xdr:to>
    <xdr:pic>
      <xdr:nvPicPr>
        <xdr:cNvPr id="7" name="Picture 2">
          <a:extLst>
            <a:ext uri="{FF2B5EF4-FFF2-40B4-BE49-F238E27FC236}">
              <a16:creationId xmlns:a16="http://schemas.microsoft.com/office/drawing/2014/main" id="{A2E3858C-8BA5-4B6D-9F9E-4A7F4CD56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15247620" y="0"/>
          <a:ext cx="1193215" cy="899160"/>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11</xdr:col>
      <xdr:colOff>110490</xdr:colOff>
      <xdr:row>6</xdr:row>
      <xdr:rowOff>205740</xdr:rowOff>
    </xdr:from>
    <xdr:to>
      <xdr:col>11</xdr:col>
      <xdr:colOff>2072640</xdr:colOff>
      <xdr:row>12</xdr:row>
      <xdr:rowOff>15240</xdr:rowOff>
    </xdr:to>
    <xdr:pic>
      <xdr:nvPicPr>
        <xdr:cNvPr id="2" name="Picture 1">
          <a:extLst>
            <a:ext uri="{FF2B5EF4-FFF2-40B4-BE49-F238E27FC236}">
              <a16:creationId xmlns:a16="http://schemas.microsoft.com/office/drawing/2014/main" id="{C9F881CC-FAC3-49CD-BA43-BF69A14403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45590" y="2482215"/>
          <a:ext cx="1954530" cy="1118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12</xdr:col>
      <xdr:colOff>1181100</xdr:colOff>
      <xdr:row>0</xdr:row>
      <xdr:rowOff>635</xdr:rowOff>
    </xdr:from>
    <xdr:to>
      <xdr:col>14</xdr:col>
      <xdr:colOff>1167</xdr:colOff>
      <xdr:row>3</xdr:row>
      <xdr:rowOff>210028</xdr:rowOff>
    </xdr:to>
    <xdr:pic>
      <xdr:nvPicPr>
        <xdr:cNvPr id="2" name="Picture 2">
          <a:extLst>
            <a:ext uri="{FF2B5EF4-FFF2-40B4-BE49-F238E27FC236}">
              <a16:creationId xmlns:a16="http://schemas.microsoft.com/office/drawing/2014/main" id="{6EFA6100-08F8-4289-9982-F8BB45C50D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20774025" y="635"/>
          <a:ext cx="1277517" cy="914243"/>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10</xdr:col>
      <xdr:colOff>1914525</xdr:colOff>
      <xdr:row>5</xdr:row>
      <xdr:rowOff>47625</xdr:rowOff>
    </xdr:from>
    <xdr:to>
      <xdr:col>11</xdr:col>
      <xdr:colOff>916305</xdr:colOff>
      <xdr:row>11</xdr:row>
      <xdr:rowOff>15240</xdr:rowOff>
    </xdr:to>
    <xdr:pic>
      <xdr:nvPicPr>
        <xdr:cNvPr id="4" name="Picture 3">
          <a:extLst>
            <a:ext uri="{FF2B5EF4-FFF2-40B4-BE49-F238E27FC236}">
              <a16:creationId xmlns:a16="http://schemas.microsoft.com/office/drawing/2014/main" id="{64AA88DC-962B-4F19-A41E-1E884B7992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30550" y="1628775"/>
          <a:ext cx="1954530"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13</xdr:col>
      <xdr:colOff>964565</xdr:colOff>
      <xdr:row>0</xdr:row>
      <xdr:rowOff>0</xdr:rowOff>
    </xdr:from>
    <xdr:to>
      <xdr:col>14</xdr:col>
      <xdr:colOff>1047012</xdr:colOff>
      <xdr:row>3</xdr:row>
      <xdr:rowOff>171928</xdr:rowOff>
    </xdr:to>
    <xdr:pic>
      <xdr:nvPicPr>
        <xdr:cNvPr id="3" name="Picture 3">
          <a:extLst>
            <a:ext uri="{FF2B5EF4-FFF2-40B4-BE49-F238E27FC236}">
              <a16:creationId xmlns:a16="http://schemas.microsoft.com/office/drawing/2014/main" id="{CF35B7B7-37D8-42FD-8644-153FCBFE6B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8281"/>
        <a:stretch>
          <a:fillRect/>
        </a:stretch>
      </xdr:blipFill>
      <xdr:spPr bwMode="auto">
        <a:xfrm>
          <a:off x="15480665" y="0"/>
          <a:ext cx="1187347" cy="876778"/>
        </a:xfrm>
        <a:prstGeom prst="rect">
          <a:avLst/>
        </a:prstGeom>
        <a:ln w="38100" cap="sq">
          <a:noFill/>
          <a:prstDash val="solid"/>
          <a:miter lim="800000"/>
        </a:ln>
        <a:effectLst/>
        <a:extLst>
          <a:ext uri="{909E8E84-426E-40dd-AFC4-6F175D3DCCD1}">
            <a14:hiddenFill xmlns:r="http://schemas.openxmlformats.org/officeDocument/2006/relationships" xmlns:p="http://schemas.openxmlformats.org/presentationml/2006/main" xmlns:a14="http://schemas.microsoft.com/office/drawing/2010/main" xmlns="" xmlns:lc="http://schemas.openxmlformats.org/drawingml/2006/lockedCanvas">
              <a:solidFill>
                <a:srgbClr val="FFFFFF"/>
              </a:solidFill>
            </a14:hiddenFill>
          </a:ext>
          <a:ext uri="{91240B29-F687-4f45-9708-019B960494DF}">
            <a14:hiddenLine xmlns:r="http://schemas.openxmlformats.org/officeDocument/2006/relationships" xmlns:p="http://schemas.openxmlformats.org/presentationml/2006/main" xmlns:a14="http://schemas.microsoft.com/office/drawing/2010/main" xmlns="" xmlns:lc="http://schemas.openxmlformats.org/drawingml/2006/lockedCanvas" w="9525">
              <a:solidFill>
                <a:srgbClr val="000000"/>
              </a:solidFill>
              <a:miter lim="800000"/>
              <a:headEnd/>
              <a:tailEnd/>
            </a14:hiddenLine>
          </a:ext>
        </a:extLst>
      </xdr:spPr>
    </xdr:pic>
    <xdr:clientData/>
  </xdr:twoCellAnchor>
  <xdr:twoCellAnchor editAs="oneCell">
    <xdr:from>
      <xdr:col>19</xdr:col>
      <xdr:colOff>9525</xdr:colOff>
      <xdr:row>0</xdr:row>
      <xdr:rowOff>0</xdr:rowOff>
    </xdr:from>
    <xdr:to>
      <xdr:col>19</xdr:col>
      <xdr:colOff>1884045</xdr:colOff>
      <xdr:row>5</xdr:row>
      <xdr:rowOff>88909</xdr:rowOff>
    </xdr:to>
    <xdr:pic>
      <xdr:nvPicPr>
        <xdr:cNvPr id="2" name="Picture 1">
          <a:extLst>
            <a:ext uri="{FF2B5EF4-FFF2-40B4-BE49-F238E27FC236}">
              <a16:creationId xmlns:a16="http://schemas.microsoft.com/office/drawing/2014/main" id="{51BE4528-2D53-471E-8BF4-38B924BCFA07}"/>
            </a:ext>
          </a:extLst>
        </xdr:cNvPr>
        <xdr:cNvPicPr>
          <a:picLocks noChangeAspect="1"/>
        </xdr:cNvPicPr>
      </xdr:nvPicPr>
      <xdr:blipFill>
        <a:blip xmlns:r="http://schemas.openxmlformats.org/officeDocument/2006/relationships" r:embed="rId2"/>
        <a:stretch>
          <a:fillRect/>
        </a:stretch>
      </xdr:blipFill>
      <xdr:spPr>
        <a:xfrm>
          <a:off x="18716625" y="0"/>
          <a:ext cx="1924050" cy="13614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Steen/Documents/Sample%20TECHTEST%20(Thesprin%20Cataly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TEST Overview (Start Here)"/>
      <sheetName val="Project Basics &amp; Benchmarks"/>
      <sheetName val="Metrics"/>
      <sheetName val="Market"/>
      <sheetName val="Functional Unit"/>
      <sheetName val="Raw Materials"/>
      <sheetName val="Manufacturing Energy"/>
      <sheetName val="Use Phase Energy"/>
      <sheetName val="CapEx"/>
      <sheetName val="OpEx"/>
      <sheetName val="Summary Tables"/>
      <sheetName val="Results Dashboard"/>
      <sheetName val="Rapid Data Input (Method 2)"/>
      <sheetName val="Summary Tables (Method 2)"/>
      <sheetName val="Results Dashboard (Method 2)"/>
      <sheetName val="MFI Embodied Energy Mini-Tool"/>
      <sheetName val="Labor Estimation Mini-Tool"/>
      <sheetName val="GWP Ref Tables"/>
      <sheetName val="EIA Ref Tables"/>
      <sheetName val="Summary Ref Tables"/>
      <sheetName val="Dropdown Menu Options"/>
    </sheetNames>
    <sheetDataSet>
      <sheetData sheetId="0"/>
      <sheetData sheetId="1">
        <row r="40">
          <cell r="D40" t="str">
            <v>SLD Catalyst</v>
          </cell>
        </row>
        <row r="41">
          <cell r="D41" t="str">
            <v>Traditional Catalyst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watch?v=UHuUtwyLChc&amp;ab_channel=U.S.DepartmentofEnergy" TargetMode="External"/><Relationship Id="rId1" Type="http://schemas.openxmlformats.org/officeDocument/2006/relationships/hyperlink" Target="https://www.youtube.com/watch?v=YqfQkQgkTQA&amp;ab_channel=U.S.DepartmentofEnerg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hyperlink" Target="https://www.youtube.com/watch?v=6_5j8kTomOo&amp;ab_channel=U.S.DepartmentofEnergy"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ubs.acs.org/doi/10.1021/es404300y" TargetMode="External"/><Relationship Id="rId2" Type="http://schemas.openxmlformats.org/officeDocument/2006/relationships/hyperlink" Target="https://www.coolingtowerchemicals.com/Polymeric-Quaternary-Amine-p/4655.htm" TargetMode="External"/><Relationship Id="rId1" Type="http://schemas.openxmlformats.org/officeDocument/2006/relationships/hyperlink" Target="https://www.unitedlabsinc.com/content/pdf/label/336label.pdf" TargetMode="External"/><Relationship Id="rId6" Type="http://schemas.openxmlformats.org/officeDocument/2006/relationships/drawing" Target="../drawings/drawing6.xml"/><Relationship Id="rId5" Type="http://schemas.openxmlformats.org/officeDocument/2006/relationships/printerSettings" Target="../printerSettings/printerSettings4.bin"/><Relationship Id="rId4" Type="http://schemas.openxmlformats.org/officeDocument/2006/relationships/hyperlink" Target="https://www.ncbi.nlm.nih.gov/pmc/articles/PMC8933528/"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2.arb.ca.gov/resources/documents/high-gwp-refrigerants" TargetMode="External"/><Relationship Id="rId1" Type="http://schemas.openxmlformats.org/officeDocument/2006/relationships/hyperlink" Target="https://reader.elsevier.com/reader/sd/pii/S2212827122000580?token=494650C2CFA0DC2FF939A96C42BEA8B301FCFD6FBACF9839DDD737C0FF902E07A5E5444A7DDD55D24AFA2FEA0A34E46F&amp;originRegion=us-east-1&amp;originCreation=20230110001925"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hyperlink" Target="https://www.energy.gov/sites/prod/files/2014/05/f15/heatpump.pdf"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9.bin"/><Relationship Id="rId1" Type="http://schemas.openxmlformats.org/officeDocument/2006/relationships/hyperlink" Target="https://www.energy.gov/energysaver/operating-and-maintaining-your-heat-pump"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16.bin"/><Relationship Id="rId1" Type="http://schemas.openxmlformats.org/officeDocument/2006/relationships/hyperlink" Target="https://mfitool.nrel.gov/"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3" Type="http://schemas.openxmlformats.org/officeDocument/2006/relationships/hyperlink" Target="https://www.ipcc-nggip.iges.or.jp/public/2006gl/pdf/2_Volume2/V2_3_Ch3_Mobile_Combustion.pdf" TargetMode="External"/><Relationship Id="rId18" Type="http://schemas.openxmlformats.org/officeDocument/2006/relationships/hyperlink" Target="https://www.ipcc.ch/site/assets/uploads/2018/02/ipcc_wg3_ar5_annex-iii.pdf" TargetMode="External"/><Relationship Id="rId26" Type="http://schemas.openxmlformats.org/officeDocument/2006/relationships/hyperlink" Target="https://www.ipcc.ch/site/assets/uploads/2018/02/ipcc_wg3_ar5_annex-iii.pdf" TargetMode="External"/><Relationship Id="rId3" Type="http://schemas.openxmlformats.org/officeDocument/2006/relationships/hyperlink" Target="https://www.ipcc-nggip.iges.or.jp/public/2006gl/pdf/2_Volume2/V2_3_Ch3_Mobile_Combustion.pdf" TargetMode="External"/><Relationship Id="rId21" Type="http://schemas.openxmlformats.org/officeDocument/2006/relationships/hyperlink" Target="https://www.ipcc-nggip.iges.or.jp/public/2006gl/pdf/2_Volume2/V2_2_Ch2_Stationary_Combustion.pdf" TargetMode="External"/><Relationship Id="rId7" Type="http://schemas.openxmlformats.org/officeDocument/2006/relationships/hyperlink" Target="https://www.ipcc.ch/report/ar6/wg3/downloads/report/IPCC_AR6_WGIII_FullReport.pdf" TargetMode="External"/><Relationship Id="rId12" Type="http://schemas.openxmlformats.org/officeDocument/2006/relationships/hyperlink" Target="https://www.ipcc-nggip.iges.or.jp/public/2019rf/pdf/2_Volume2/19R_V2_2_Ch02_Stationary_Combustion.pdf" TargetMode="External"/><Relationship Id="rId17" Type="http://schemas.openxmlformats.org/officeDocument/2006/relationships/hyperlink" Target="https://www.ipcc.ch/site/assets/uploads/2018/02/ipcc_wg3_ar5_annex-iii.pdf" TargetMode="External"/><Relationship Id="rId25" Type="http://schemas.openxmlformats.org/officeDocument/2006/relationships/hyperlink" Target="https://www.ipcc.ch/site/assets/uploads/2018/02/ipcc_wg3_ar5_annex-iii.pdf" TargetMode="External"/><Relationship Id="rId33" Type="http://schemas.openxmlformats.org/officeDocument/2006/relationships/comments" Target="../comments2.xml"/><Relationship Id="rId2" Type="http://schemas.openxmlformats.org/officeDocument/2006/relationships/hyperlink" Target="https://www.ipcc-nggip.iges.or.jp/public/2006gl/vol2.html" TargetMode="External"/><Relationship Id="rId16" Type="http://schemas.openxmlformats.org/officeDocument/2006/relationships/hyperlink" Target="https://www.ipcc-nggip.iges.or.jp/public/2019rf/vol2.html" TargetMode="External"/><Relationship Id="rId20" Type="http://schemas.openxmlformats.org/officeDocument/2006/relationships/hyperlink" Target="https://www.eia.gov/totalenergy/data/browser/index.php?tbl=T07.02A" TargetMode="External"/><Relationship Id="rId29" Type="http://schemas.openxmlformats.org/officeDocument/2006/relationships/hyperlink" Target="https://www.ipcc-nggip.iges.or.jp/public/2006gl/pdf/2_Volume2/V2_2_Ch2_Stationary_Combustion.pdf" TargetMode="External"/><Relationship Id="rId1" Type="http://schemas.openxmlformats.org/officeDocument/2006/relationships/hyperlink" Target="https://www.ipcc.ch/site/assets/uploads/2018/02/WG1AR5_Chapter08_FINAL.pdf" TargetMode="External"/><Relationship Id="rId6" Type="http://schemas.openxmlformats.org/officeDocument/2006/relationships/hyperlink" Target="https://www.epa.gov/sites/production/files/2015-07/documents/emission-factors_2014.pdf" TargetMode="External"/><Relationship Id="rId11" Type="http://schemas.openxmlformats.org/officeDocument/2006/relationships/hyperlink" Target="https://www.ipcc-nggip.iges.or.jp/public/2019rf/pdf/2_Volume2/19R_V2_2_Ch02_Stationary_Combustion.pdf" TargetMode="External"/><Relationship Id="rId24" Type="http://schemas.openxmlformats.org/officeDocument/2006/relationships/hyperlink" Target="https://www.ipcc.ch/site/assets/uploads/2018/02/ipcc_wg3_ar5_annex-iii.pdf" TargetMode="External"/><Relationship Id="rId32" Type="http://schemas.openxmlformats.org/officeDocument/2006/relationships/vmlDrawing" Target="../drawings/vmlDrawing2.vml"/><Relationship Id="rId5" Type="http://schemas.openxmlformats.org/officeDocument/2006/relationships/hyperlink" Target="https://www.eia.gov/totalenergy/data/browser/index.php?tbl=T07.02A" TargetMode="External"/><Relationship Id="rId15" Type="http://schemas.openxmlformats.org/officeDocument/2006/relationships/hyperlink" Target="https://www.ipcc-nggip.iges.or.jp/public/2019rf/vol2.html" TargetMode="External"/><Relationship Id="rId23" Type="http://schemas.openxmlformats.org/officeDocument/2006/relationships/hyperlink" Target="https://www.ipcc.ch/site/assets/uploads/2018/02/ipcc_wg3_ar5_annex-iii.pdf" TargetMode="External"/><Relationship Id="rId28" Type="http://schemas.openxmlformats.org/officeDocument/2006/relationships/hyperlink" Target="https://www.ipcc.ch/site/assets/uploads/2018/02/ipcc_wg3_ar5_annex-iii.pdf" TargetMode="External"/><Relationship Id="rId10" Type="http://schemas.openxmlformats.org/officeDocument/2006/relationships/hyperlink" Target="https://www.ipcc-nggip.iges.or.jp/public/2006gl/pdf/2_Volume2/V2_2_Ch2_Stationary_Combustion.pdf" TargetMode="External"/><Relationship Id="rId19" Type="http://schemas.openxmlformats.org/officeDocument/2006/relationships/hyperlink" Target="https://www.eia.gov/totalenergy/data/browser/index.php?tbl=T07.02A" TargetMode="External"/><Relationship Id="rId31" Type="http://schemas.openxmlformats.org/officeDocument/2006/relationships/drawing" Target="../drawings/drawing22.xml"/><Relationship Id="rId4" Type="http://schemas.openxmlformats.org/officeDocument/2006/relationships/hyperlink" Target="https://www.ipcc.ch/site/assets/uploads/2018/02/ipcc_wg3_ar5_annex-iii.pdf" TargetMode="External"/><Relationship Id="rId9" Type="http://schemas.openxmlformats.org/officeDocument/2006/relationships/hyperlink" Target="https://www.ipcc-nggip.iges.or.jp/public/2006gl/pdf/2_Volume2/V2_2_Ch2_Stationary_Combustion.pdf" TargetMode="External"/><Relationship Id="rId14" Type="http://schemas.openxmlformats.org/officeDocument/2006/relationships/hyperlink" Target="https://www.ipcc-nggip.iges.or.jp/public/2006gl/pdf/2_Volume2/V2_3_Ch3_Mobile_Combustion.pdf" TargetMode="External"/><Relationship Id="rId22" Type="http://schemas.openxmlformats.org/officeDocument/2006/relationships/hyperlink" Target="https://www.ipcc.ch/site/assets/uploads/2018/02/ipcc_wg3_ar5_annex-iii.pdf" TargetMode="External"/><Relationship Id="rId27" Type="http://schemas.openxmlformats.org/officeDocument/2006/relationships/hyperlink" Target="https://www.ipcc.ch/site/assets/uploads/2018/02/ipcc_wg3_ar5_annex-iii.pdf" TargetMode="External"/><Relationship Id="rId30" Type="http://schemas.openxmlformats.org/officeDocument/2006/relationships/printerSettings" Target="../printerSettings/printerSettings18.bin"/><Relationship Id="rId8" Type="http://schemas.openxmlformats.org/officeDocument/2006/relationships/hyperlink" Target="https://www.ipcc.ch/report/ar6/wg3/downloads/report/IPCC_AR6_WGIII_FullReport.pdf"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https://www.eia.gov/totalenergy/data/browser/index.php?tbl=T02.04" TargetMode="External"/><Relationship Id="rId18" Type="http://schemas.openxmlformats.org/officeDocument/2006/relationships/hyperlink" Target="https://www.eia.gov/totalenergy/data/browser/index.php?tbl=T03.07C" TargetMode="External"/><Relationship Id="rId26" Type="http://schemas.openxmlformats.org/officeDocument/2006/relationships/hyperlink" Target="https://www.eia.gov/totalenergy/data/browser/index.php?tbl=T02.02" TargetMode="External"/><Relationship Id="rId3" Type="http://schemas.openxmlformats.org/officeDocument/2006/relationships/hyperlink" Target="https://www.eia.gov/totalenergy/data/monthly/pdf/mer_a.pdf" TargetMode="External"/><Relationship Id="rId21" Type="http://schemas.openxmlformats.org/officeDocument/2006/relationships/hyperlink" Target="https://www.eia.gov/totalenergy/data/browser/index.php?tbl=T09.04" TargetMode="External"/><Relationship Id="rId34" Type="http://schemas.openxmlformats.org/officeDocument/2006/relationships/drawing" Target="../drawings/drawing23.xml"/><Relationship Id="rId7" Type="http://schemas.openxmlformats.org/officeDocument/2006/relationships/hyperlink" Target="https://www.eia.gov/totalenergy/data/browser/index.php?tbl=T07.06" TargetMode="External"/><Relationship Id="rId12" Type="http://schemas.openxmlformats.org/officeDocument/2006/relationships/hyperlink" Target="https://www.eia.gov/consumption/manufacturing/data/2014/pdf/table7_7.pdf" TargetMode="External"/><Relationship Id="rId17" Type="http://schemas.openxmlformats.org/officeDocument/2006/relationships/hyperlink" Target="https://www.eia.gov/totalenergy/data/browser/index.php?tbl=T02.06" TargetMode="External"/><Relationship Id="rId25" Type="http://schemas.openxmlformats.org/officeDocument/2006/relationships/hyperlink" Target="https://www.eia.gov/totalenergy/data/browser/index.php?tbl=T09.05" TargetMode="External"/><Relationship Id="rId33" Type="http://schemas.openxmlformats.org/officeDocument/2006/relationships/printerSettings" Target="../printerSettings/printerSettings19.bin"/><Relationship Id="rId2" Type="http://schemas.openxmlformats.org/officeDocument/2006/relationships/hyperlink" Target="https://www.eia.gov/totalenergy/data/monthly/pdf/mer_a.pdf" TargetMode="External"/><Relationship Id="rId16" Type="http://schemas.openxmlformats.org/officeDocument/2006/relationships/hyperlink" Target="https://www.eia.gov/totalenergy/data/browser/index.php?tbl=T10.02C" TargetMode="External"/><Relationship Id="rId20" Type="http://schemas.openxmlformats.org/officeDocument/2006/relationships/hyperlink" Target="https://www.eia.gov/totalenergy/data/browser/index.php?tbl=T09.08" TargetMode="External"/><Relationship Id="rId29" Type="http://schemas.openxmlformats.org/officeDocument/2006/relationships/hyperlink" Target="https://www.eia.gov/totalenergy/data/browser/index.php?tbl=T02.03" TargetMode="External"/><Relationship Id="rId1" Type="http://schemas.openxmlformats.org/officeDocument/2006/relationships/hyperlink" Target="https://www.eia.gov/totalenergy/data/browser/index.php?tbl=T03.07B" TargetMode="External"/><Relationship Id="rId6" Type="http://schemas.openxmlformats.org/officeDocument/2006/relationships/hyperlink" Target="https://www.eia.gov/totalenergy/data/monthly/pdf/mer_a.pdf" TargetMode="External"/><Relationship Id="rId11" Type="http://schemas.openxmlformats.org/officeDocument/2006/relationships/hyperlink" Target="https://www.eia.gov/totalenergy/data/browser/index.php?tbl=T10.02B" TargetMode="External"/><Relationship Id="rId24" Type="http://schemas.openxmlformats.org/officeDocument/2006/relationships/hyperlink" Target="https://www.eia.gov/totalenergy/data/browser/index.php?tbl=T09.07" TargetMode="External"/><Relationship Id="rId32" Type="http://schemas.openxmlformats.org/officeDocument/2006/relationships/hyperlink" Target="https://www.irena.org/-/media/Files/IRENA/Agency/Publication/2022/Jul/IRENA_Power_Generation_Costs_2021.pdf?rev=34c22a4b244d434da0accde7de7c73d8" TargetMode="External"/><Relationship Id="rId5" Type="http://schemas.openxmlformats.org/officeDocument/2006/relationships/hyperlink" Target="https://www.eia.gov/totalenergy/data/monthly/pdf/mer_a.pdf" TargetMode="External"/><Relationship Id="rId15" Type="http://schemas.openxmlformats.org/officeDocument/2006/relationships/hyperlink" Target="https://www.eia.gov/totalenergy/data/browser/index.php?tbl=T10.02A" TargetMode="External"/><Relationship Id="rId23" Type="http://schemas.openxmlformats.org/officeDocument/2006/relationships/hyperlink" Target="https://www.eia.gov/totalenergy/data/browser/index.php?tbl=T09.10" TargetMode="External"/><Relationship Id="rId28" Type="http://schemas.openxmlformats.org/officeDocument/2006/relationships/hyperlink" Target="https://www.eia.gov/totalenergy/data/browser/index.php?tbl=T02.05" TargetMode="External"/><Relationship Id="rId36" Type="http://schemas.openxmlformats.org/officeDocument/2006/relationships/comments" Target="../comments3.xml"/><Relationship Id="rId10" Type="http://schemas.openxmlformats.org/officeDocument/2006/relationships/hyperlink" Target="https://www.eia.gov/totalenergy/data/browser/index.php?tbl=T04.03" TargetMode="External"/><Relationship Id="rId19" Type="http://schemas.openxmlformats.org/officeDocument/2006/relationships/hyperlink" Target="https://www.eia.gov/totalenergy/data/browser/index.php?tbl=T02.05" TargetMode="External"/><Relationship Id="rId31" Type="http://schemas.openxmlformats.org/officeDocument/2006/relationships/hyperlink" Target="https://www.eia.gov/consumption/manufacturing/data/2018/pdf/Table7_1.pdf" TargetMode="External"/><Relationship Id="rId4" Type="http://schemas.openxmlformats.org/officeDocument/2006/relationships/hyperlink" Target="https://www.eia.gov/totalenergy/data/monthly/pdf/mer_a.pdf" TargetMode="External"/><Relationship Id="rId9" Type="http://schemas.openxmlformats.org/officeDocument/2006/relationships/hyperlink" Target="https://www.eia.gov/totalenergy/data/browser/index.php?tbl=T06.02" TargetMode="External"/><Relationship Id="rId14" Type="http://schemas.openxmlformats.org/officeDocument/2006/relationships/hyperlink" Target="https://www.eia.gov/totalenergy/data/browser/index.php?tbl=T02.02" TargetMode="External"/><Relationship Id="rId22" Type="http://schemas.openxmlformats.org/officeDocument/2006/relationships/hyperlink" Target="https://www.eia.gov/totalenergy/data/browser/index.php?tbl=T09.09" TargetMode="External"/><Relationship Id="rId27" Type="http://schemas.openxmlformats.org/officeDocument/2006/relationships/hyperlink" Target="https://www.eia.gov/totalenergy/data/browser/index.php?tbl=T02.04" TargetMode="External"/><Relationship Id="rId30" Type="http://schemas.openxmlformats.org/officeDocument/2006/relationships/hyperlink" Target="https://portfoliomanager.energystar.gov/pdf/reference/Source%20Energy.pdf" TargetMode="External"/><Relationship Id="rId35" Type="http://schemas.openxmlformats.org/officeDocument/2006/relationships/vmlDrawing" Target="../drawings/vmlDrawing3.vml"/><Relationship Id="rId8" Type="http://schemas.openxmlformats.org/officeDocument/2006/relationships/hyperlink" Target="https://www.eia.gov/energyexplained/coal/"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91A17-04FD-4E88-966C-344DBAF954DC}">
  <sheetPr>
    <tabColor theme="0"/>
    <pageSetUpPr fitToPage="1"/>
  </sheetPr>
  <dimension ref="B1:C31"/>
  <sheetViews>
    <sheetView showGridLines="0" topLeftCell="A4" zoomScale="123" zoomScaleNormal="123" workbookViewId="0"/>
  </sheetViews>
  <sheetFormatPr baseColWidth="10" defaultColWidth="8.83203125" defaultRowHeight="15" x14ac:dyDescent="0.2"/>
  <cols>
    <col min="1" max="1" width="3" customWidth="1"/>
    <col min="2" max="2" width="2.6640625" customWidth="1"/>
    <col min="3" max="3" width="145.5" customWidth="1"/>
    <col min="7" max="7" width="33.33203125" customWidth="1"/>
    <col min="10" max="10" width="31.5" customWidth="1"/>
  </cols>
  <sheetData>
    <row r="1" spans="2:3" ht="15.75" customHeight="1" x14ac:dyDescent="0.2">
      <c r="B1" s="264"/>
      <c r="C1" s="665" t="s">
        <v>0</v>
      </c>
    </row>
    <row r="2" spans="2:3" ht="21" x14ac:dyDescent="0.2">
      <c r="B2" s="308"/>
      <c r="C2" s="265" t="s">
        <v>1</v>
      </c>
    </row>
    <row r="3" spans="2:3" ht="20" x14ac:dyDescent="0.2">
      <c r="B3" s="592"/>
      <c r="C3" s="593" t="s">
        <v>2</v>
      </c>
    </row>
    <row r="4" spans="2:3" ht="16" x14ac:dyDescent="0.2">
      <c r="B4" s="84"/>
      <c r="C4" s="266" t="s">
        <v>3</v>
      </c>
    </row>
    <row r="5" spans="2:3" ht="16" x14ac:dyDescent="0.2">
      <c r="B5" s="84"/>
      <c r="C5" s="266"/>
    </row>
    <row r="6" spans="2:3" ht="18" x14ac:dyDescent="0.2">
      <c r="B6" s="84"/>
      <c r="C6" s="6" t="s">
        <v>4</v>
      </c>
    </row>
    <row r="7" spans="2:3" ht="16.25" customHeight="1" x14ac:dyDescent="0.2">
      <c r="B7" s="84"/>
      <c r="C7" s="1132" t="s">
        <v>5</v>
      </c>
    </row>
    <row r="8" spans="2:3" ht="16.25" customHeight="1" x14ac:dyDescent="0.2">
      <c r="B8" s="84"/>
      <c r="C8" s="1133"/>
    </row>
    <row r="9" spans="2:3" ht="16.25" customHeight="1" x14ac:dyDescent="0.2">
      <c r="B9" s="84"/>
      <c r="C9" s="1133"/>
    </row>
    <row r="10" spans="2:3" ht="16.25" customHeight="1" x14ac:dyDescent="0.2">
      <c r="B10" s="84"/>
      <c r="C10" s="1133"/>
    </row>
    <row r="11" spans="2:3" ht="35" customHeight="1" x14ac:dyDescent="0.2">
      <c r="B11" s="84"/>
      <c r="C11" s="1134"/>
    </row>
    <row r="12" spans="2:3" ht="24" customHeight="1" x14ac:dyDescent="0.2">
      <c r="B12" s="84"/>
      <c r="C12" s="711" t="s">
        <v>6</v>
      </c>
    </row>
    <row r="13" spans="2:3" ht="24" customHeight="1" x14ac:dyDescent="0.2">
      <c r="B13" s="84"/>
      <c r="C13" s="711" t="s">
        <v>7</v>
      </c>
    </row>
    <row r="14" spans="2:3" ht="24" customHeight="1" x14ac:dyDescent="0.2">
      <c r="B14" s="84"/>
      <c r="C14" s="717"/>
    </row>
    <row r="15" spans="2:3" ht="24" customHeight="1" x14ac:dyDescent="0.2">
      <c r="B15" s="84"/>
      <c r="C15" s="6" t="s">
        <v>8</v>
      </c>
    </row>
    <row r="16" spans="2:3" ht="30" x14ac:dyDescent="0.2">
      <c r="B16" s="84"/>
      <c r="C16" s="722" t="s">
        <v>9</v>
      </c>
    </row>
    <row r="17" spans="2:3" ht="24" customHeight="1" x14ac:dyDescent="0.2">
      <c r="B17" s="84"/>
      <c r="C17" s="723" t="s">
        <v>10</v>
      </c>
    </row>
    <row r="18" spans="2:3" ht="24" customHeight="1" x14ac:dyDescent="0.2">
      <c r="B18" s="84"/>
      <c r="C18" s="720" t="s">
        <v>11</v>
      </c>
    </row>
    <row r="19" spans="2:3" ht="24" customHeight="1" x14ac:dyDescent="0.2">
      <c r="B19" s="84"/>
      <c r="C19" s="721"/>
    </row>
    <row r="20" spans="2:3" ht="24" customHeight="1" x14ac:dyDescent="0.2">
      <c r="B20" s="84"/>
      <c r="C20" s="719" t="s">
        <v>12</v>
      </c>
    </row>
    <row r="21" spans="2:3" ht="24" customHeight="1" x14ac:dyDescent="0.2">
      <c r="B21" s="84"/>
      <c r="C21" s="980" t="s">
        <v>13</v>
      </c>
    </row>
    <row r="22" spans="2:3" ht="24" customHeight="1" x14ac:dyDescent="0.2">
      <c r="B22" s="84"/>
      <c r="C22" s="981" t="s">
        <v>14</v>
      </c>
    </row>
    <row r="23" spans="2:3" ht="24" customHeight="1" x14ac:dyDescent="0.2">
      <c r="B23" s="84"/>
      <c r="C23" s="982" t="s">
        <v>15</v>
      </c>
    </row>
    <row r="24" spans="2:3" ht="24" customHeight="1" x14ac:dyDescent="0.2">
      <c r="B24" s="84"/>
      <c r="C24" s="982" t="s">
        <v>16</v>
      </c>
    </row>
    <row r="25" spans="2:3" s="45" customFormat="1" ht="24" customHeight="1" x14ac:dyDescent="0.2">
      <c r="B25" s="84"/>
      <c r="C25" s="983"/>
    </row>
    <row r="26" spans="2:3" s="45" customFormat="1" ht="24" customHeight="1" x14ac:dyDescent="0.2">
      <c r="B26" s="84"/>
      <c r="C26" s="709"/>
    </row>
    <row r="27" spans="2:3" ht="24" customHeight="1" x14ac:dyDescent="0.2">
      <c r="B27" s="48"/>
      <c r="C27" s="985" t="s">
        <v>17</v>
      </c>
    </row>
    <row r="28" spans="2:3" x14ac:dyDescent="0.2">
      <c r="B28" s="84"/>
      <c r="C28" s="984" t="s">
        <v>18</v>
      </c>
    </row>
    <row r="29" spans="2:3" x14ac:dyDescent="0.2">
      <c r="B29" s="84"/>
      <c r="C29" s="176" t="s">
        <v>19</v>
      </c>
    </row>
    <row r="30" spans="2:3" x14ac:dyDescent="0.2">
      <c r="B30" s="84"/>
      <c r="C30" s="177" t="s">
        <v>20</v>
      </c>
    </row>
    <row r="31" spans="2:3" ht="12" customHeight="1" x14ac:dyDescent="0.2">
      <c r="B31" s="88"/>
      <c r="C31" s="175" t="s">
        <v>21</v>
      </c>
    </row>
  </sheetData>
  <mergeCells count="1">
    <mergeCell ref="C7:C11"/>
  </mergeCells>
  <hyperlinks>
    <hyperlink ref="C12" location="'Full Entry Home Page'!A1" display="•_x0009_Full Analytical Approach: Review each section of the lifecycle separately, enter more granular data. (Recommended for first time users)" xr:uid="{96350D28-1E5B-41AE-81DA-AA1FFC40C46A}"/>
    <hyperlink ref="C13" location="'Rapid Data Entry Home Page'!A1" display="•_x0009_Rapid Data Entry Approach: Abbreviated approach, little to no explanation of steps. (Recommended for multiple scenario testing) " xr:uid="{E9CB8A20-066D-41A2-B0FD-F23DE850A845}"/>
    <hyperlink ref="C17" location="EnergyConsumption" display="Link to energy/cost data tables." xr:uid="{096472E8-CED3-4B36-8642-F3DE59465080}"/>
    <hyperlink ref="C18" location="GWP" display="Link to global warming potential data tables" xr:uid="{72ECAED9-3905-448A-88AD-AE9A0CA6E0B7}"/>
    <hyperlink ref="C21" r:id="rId1" xr:uid="{94FE8986-AFA0-42FF-91E2-CE87E49A633A}"/>
    <hyperlink ref="C22" r:id="rId2" xr:uid="{BB4CE5FD-1501-49AD-B0BF-2D27EC22894B}"/>
  </hyperlinks>
  <pageMargins left="0.25" right="0.25" top="0.75" bottom="0.75" header="0.3" footer="0.3"/>
  <pageSetup scale="77" fitToHeight="0"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DF698-EC25-4BA5-ABAA-8D5EED1FBBD4}">
  <sheetPr>
    <tabColor theme="0"/>
  </sheetPr>
  <dimension ref="B2:C20"/>
  <sheetViews>
    <sheetView showGridLines="0" topLeftCell="A4" zoomScale="138" zoomScaleNormal="138" workbookViewId="0"/>
  </sheetViews>
  <sheetFormatPr baseColWidth="10" defaultColWidth="8.83203125" defaultRowHeight="15" x14ac:dyDescent="0.2"/>
  <cols>
    <col min="3" max="3" width="115.33203125" customWidth="1"/>
  </cols>
  <sheetData>
    <row r="2" spans="2:3" ht="14.75" customHeight="1" x14ac:dyDescent="0.2">
      <c r="B2" s="1135" t="s">
        <v>22</v>
      </c>
      <c r="C2" s="1136"/>
    </row>
    <row r="3" spans="2:3" ht="16.25" customHeight="1" x14ac:dyDescent="0.2">
      <c r="B3" s="1137"/>
      <c r="C3" s="1138"/>
    </row>
    <row r="4" spans="2:3" ht="225" x14ac:dyDescent="0.2">
      <c r="B4" s="84"/>
      <c r="C4" s="267" t="s">
        <v>23</v>
      </c>
    </row>
    <row r="5" spans="2:3" x14ac:dyDescent="0.2">
      <c r="B5" s="84"/>
      <c r="C5" s="269" t="s">
        <v>24</v>
      </c>
    </row>
    <row r="6" spans="2:3" x14ac:dyDescent="0.2">
      <c r="B6" s="84"/>
      <c r="C6" s="269"/>
    </row>
    <row r="7" spans="2:3" ht="16" x14ac:dyDescent="0.2">
      <c r="B7" s="784">
        <v>1</v>
      </c>
      <c r="C7" s="708" t="s">
        <v>25</v>
      </c>
    </row>
    <row r="8" spans="2:3" ht="16" x14ac:dyDescent="0.2">
      <c r="B8" s="784">
        <v>2</v>
      </c>
      <c r="C8" s="708" t="s">
        <v>26</v>
      </c>
    </row>
    <row r="9" spans="2:3" ht="16" x14ac:dyDescent="0.2">
      <c r="B9" s="784">
        <v>3</v>
      </c>
      <c r="C9" s="708" t="s">
        <v>27</v>
      </c>
    </row>
    <row r="10" spans="2:3" ht="16" x14ac:dyDescent="0.2">
      <c r="B10" s="784">
        <v>4</v>
      </c>
      <c r="C10" s="708" t="s">
        <v>28</v>
      </c>
    </row>
    <row r="11" spans="2:3" ht="16" x14ac:dyDescent="0.2">
      <c r="B11" s="784">
        <v>5</v>
      </c>
      <c r="C11" s="708" t="s">
        <v>29</v>
      </c>
    </row>
    <row r="12" spans="2:3" ht="16" x14ac:dyDescent="0.2">
      <c r="B12" s="784">
        <v>6</v>
      </c>
      <c r="C12" s="708" t="s">
        <v>30</v>
      </c>
    </row>
    <row r="13" spans="2:3" ht="16" x14ac:dyDescent="0.2">
      <c r="B13" s="784">
        <v>7</v>
      </c>
      <c r="C13" s="708" t="s">
        <v>31</v>
      </c>
    </row>
    <row r="14" spans="2:3" ht="16" x14ac:dyDescent="0.2">
      <c r="B14" s="784">
        <v>8</v>
      </c>
      <c r="C14" s="708" t="s">
        <v>32</v>
      </c>
    </row>
    <row r="15" spans="2:3" ht="16" x14ac:dyDescent="0.2">
      <c r="B15" s="784">
        <v>9</v>
      </c>
      <c r="C15" s="708" t="s">
        <v>33</v>
      </c>
    </row>
    <row r="16" spans="2:3" ht="120" x14ac:dyDescent="0.2">
      <c r="B16" s="84"/>
      <c r="C16" s="268" t="s">
        <v>34</v>
      </c>
    </row>
    <row r="17" spans="2:3" x14ac:dyDescent="0.2">
      <c r="B17" s="84"/>
      <c r="C17" s="269" t="s">
        <v>35</v>
      </c>
    </row>
    <row r="18" spans="2:3" ht="16" x14ac:dyDescent="0.2">
      <c r="B18" s="784">
        <v>1</v>
      </c>
      <c r="C18" s="270" t="s">
        <v>36</v>
      </c>
    </row>
    <row r="19" spans="2:3" ht="16" x14ac:dyDescent="0.2">
      <c r="B19" s="784">
        <v>2</v>
      </c>
      <c r="C19" s="270" t="s">
        <v>37</v>
      </c>
    </row>
    <row r="20" spans="2:3" x14ac:dyDescent="0.2">
      <c r="B20" s="88"/>
      <c r="C20" s="710"/>
    </row>
  </sheetData>
  <mergeCells count="1">
    <mergeCell ref="B2:C3"/>
  </mergeCells>
  <hyperlinks>
    <hyperlink ref="C7" location="'Project Basics &amp; Benchmarks'!A1" display="Project Basics and Benchmarks (Tier 1)" xr:uid="{68511AA9-EB34-4A22-B938-B18A2387FC80}"/>
    <hyperlink ref="C8" location="Market!A1" display="Market (Tier 2)" xr:uid="{7E45CC61-E7FB-45DF-BB03-BCA376AC108B}"/>
    <hyperlink ref="C9" location="Functional_Unit" display="Functional Unit (Tier 2)" xr:uid="{A409F419-3DCF-4BEE-BF17-242D33EE2F21}"/>
    <hyperlink ref="C10" location="'Raw Materials'!A1" display="Raw Materials (Tier 2)" xr:uid="{0A2BC999-DCE5-4400-B2B6-8FCA29591EC5}"/>
    <hyperlink ref="C11" location="'Manufacturing Energy'!A1" display="Manufacturing Phase Energy &amp; Emissions (Tier 2)" xr:uid="{9A5054E4-0469-4BB0-A7AF-F426A6A9AE42}"/>
    <hyperlink ref="C14" location="CapEx!A1" display="CapEx (Tier 2)" xr:uid="{CF03F9C6-650A-4CA3-9673-C6E1FFD68100}"/>
    <hyperlink ref="C15" location="OpEx!A1" display="OpEx (Tier 2)" xr:uid="{AE8C923E-7C41-4079-A9AA-D961B68F5DF5}"/>
    <hyperlink ref="C12" location="'Use Phase Energy'!A1" display="Use Phase Energy &amp; Emissions (Tier 2)" xr:uid="{71A87E97-25DC-4ACC-A52D-6AE1791E5BE8}"/>
    <hyperlink ref="C18" location="'Summary Tables'!A1" display="Summary Results (Tables)" xr:uid="{661307AC-6425-48DD-85B0-094DB4112296}"/>
    <hyperlink ref="C19" location="'Results Dashboard'!A1" display="Graphical Results Dashboard" xr:uid="{6EE7DC74-E602-4860-B567-E4A87230E7BD}"/>
    <hyperlink ref="C13" location="GridMix" display="Grid Mix" xr:uid="{D065E3E6-6F39-4CE9-8282-59FBDABC2342}"/>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BF594-99AB-4184-9EDB-6C4931BCF2E5}">
  <sheetPr>
    <tabColor theme="0"/>
  </sheetPr>
  <dimension ref="B2:C15"/>
  <sheetViews>
    <sheetView showGridLines="0" workbookViewId="0"/>
  </sheetViews>
  <sheetFormatPr baseColWidth="10" defaultColWidth="8.83203125" defaultRowHeight="15" x14ac:dyDescent="0.2"/>
  <cols>
    <col min="3" max="3" width="115.6640625" customWidth="1"/>
  </cols>
  <sheetData>
    <row r="2" spans="2:3" ht="14.75" customHeight="1" x14ac:dyDescent="0.2">
      <c r="B2" s="1139" t="s">
        <v>38</v>
      </c>
      <c r="C2" s="1140"/>
    </row>
    <row r="3" spans="2:3" ht="16.25" customHeight="1" x14ac:dyDescent="0.2">
      <c r="B3" s="1141"/>
      <c r="C3" s="1142"/>
    </row>
    <row r="4" spans="2:3" ht="48.5" customHeight="1" x14ac:dyDescent="0.2">
      <c r="B4" s="84"/>
      <c r="C4" s="558" t="s">
        <v>39</v>
      </c>
    </row>
    <row r="5" spans="2:3" ht="58.5" customHeight="1" x14ac:dyDescent="0.2">
      <c r="B5" s="84"/>
      <c r="C5" s="558" t="s">
        <v>40</v>
      </c>
    </row>
    <row r="6" spans="2:3" ht="90" customHeight="1" x14ac:dyDescent="0.2">
      <c r="B6" s="84"/>
      <c r="C6" s="558" t="s">
        <v>41</v>
      </c>
    </row>
    <row r="7" spans="2:3" x14ac:dyDescent="0.2">
      <c r="B7" s="84"/>
      <c r="C7" s="269" t="s">
        <v>42</v>
      </c>
    </row>
    <row r="8" spans="2:3" x14ac:dyDescent="0.2">
      <c r="B8" s="84"/>
      <c r="C8" s="269"/>
    </row>
    <row r="9" spans="2:3" ht="16" x14ac:dyDescent="0.2">
      <c r="B9" s="784">
        <v>1</v>
      </c>
      <c r="C9" s="270" t="s">
        <v>43</v>
      </c>
    </row>
    <row r="10" spans="2:3" ht="16" x14ac:dyDescent="0.2">
      <c r="B10" s="784">
        <v>2</v>
      </c>
      <c r="C10" s="270" t="s">
        <v>44</v>
      </c>
    </row>
    <row r="11" spans="2:3" x14ac:dyDescent="0.2">
      <c r="B11" s="84"/>
      <c r="C11" s="12"/>
    </row>
    <row r="12" spans="2:3" ht="105" x14ac:dyDescent="0.2">
      <c r="B12" s="84"/>
      <c r="C12" s="268" t="s">
        <v>45</v>
      </c>
    </row>
    <row r="13" spans="2:3" x14ac:dyDescent="0.2">
      <c r="B13" s="84"/>
      <c r="C13" s="269" t="s">
        <v>46</v>
      </c>
    </row>
    <row r="14" spans="2:3" ht="16" x14ac:dyDescent="0.2">
      <c r="B14" s="784">
        <v>1</v>
      </c>
      <c r="C14" s="270" t="s">
        <v>47</v>
      </c>
    </row>
    <row r="15" spans="2:3" ht="16" x14ac:dyDescent="0.2">
      <c r="B15" s="986">
        <v>2</v>
      </c>
      <c r="C15" s="710" t="s">
        <v>48</v>
      </c>
    </row>
  </sheetData>
  <mergeCells count="1">
    <mergeCell ref="B2:C3"/>
  </mergeCells>
  <hyperlinks>
    <hyperlink ref="C9" location="'Project Basics &amp; Benchmarks'!A1" display="Project Basics and Benchmarks (Tier 1)" xr:uid="{805B675C-1CE8-4A7A-B837-7ABB38700E6C}"/>
    <hyperlink ref="C10" location="'Rapid Data Input (Method 2)'!A1" display="Rapid Data Input Sheet for Method 2 (Tier 2)" xr:uid="{580F6BE7-73F3-4DED-8D31-A8936D9D2D70}"/>
    <hyperlink ref="C14" location="'Summary Tables (Method 2)'!A1" display="Results Summary Tables (Method 2)" xr:uid="{23AA5F77-BA60-4435-AE8B-9F0AEF53D672}"/>
    <hyperlink ref="C15" location="'Results Dashboard (Method 2)'!A1" display="Graphical Results Dashboard" xr:uid="{D327435B-FA12-4C6F-AB61-B02765A6FD0E}"/>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BCD8-FBBD-4AD3-88EA-CE2E0F1D0F9B}">
  <sheetPr codeName="Sheet3">
    <tabColor rgb="FF92D050"/>
    <pageSetUpPr fitToPage="1"/>
  </sheetPr>
  <dimension ref="B1:G73"/>
  <sheetViews>
    <sheetView showGridLines="0" topLeftCell="B45" zoomScale="145" zoomScaleNormal="145" workbookViewId="0">
      <selection activeCell="D37" sqref="D37"/>
    </sheetView>
  </sheetViews>
  <sheetFormatPr baseColWidth="10" defaultColWidth="9.33203125" defaultRowHeight="14" x14ac:dyDescent="0.15"/>
  <cols>
    <col min="1" max="1" width="2.6640625" style="5" customWidth="1"/>
    <col min="2" max="2" width="30.6640625" style="5" customWidth="1"/>
    <col min="3" max="3" width="50" style="5" customWidth="1"/>
    <col min="4" max="6" width="25.6640625" style="5" customWidth="1"/>
    <col min="7" max="7" width="2.6640625" style="5" customWidth="1"/>
    <col min="8" max="8" width="3" style="5" customWidth="1"/>
    <col min="9" max="16384" width="9.33203125" style="5"/>
  </cols>
  <sheetData>
    <row r="1" spans="2:7" ht="15.75" customHeight="1" x14ac:dyDescent="0.15">
      <c r="B1" s="1159" t="s">
        <v>0</v>
      </c>
      <c r="C1" s="1160"/>
      <c r="D1" s="1160"/>
      <c r="E1" s="1160"/>
      <c r="F1" s="1160"/>
      <c r="G1" s="16"/>
    </row>
    <row r="2" spans="2:7" ht="21" customHeight="1" x14ac:dyDescent="0.15">
      <c r="B2" s="1161" t="s">
        <v>1</v>
      </c>
      <c r="C2" s="1162"/>
      <c r="D2" s="1162"/>
      <c r="E2" s="1162"/>
      <c r="F2" s="1162"/>
      <c r="G2" s="31"/>
    </row>
    <row r="3" spans="2:7" ht="21" customHeight="1" x14ac:dyDescent="0.15">
      <c r="B3" s="712"/>
      <c r="C3" s="440"/>
      <c r="D3" s="440"/>
      <c r="E3" s="440"/>
      <c r="F3" s="440"/>
      <c r="G3" s="31"/>
    </row>
    <row r="4" spans="2:7" ht="15.5" customHeight="1" x14ac:dyDescent="0.2">
      <c r="B4" s="713"/>
      <c r="C4" s="987" t="s">
        <v>49</v>
      </c>
      <c r="D4" s="1169" t="s">
        <v>50</v>
      </c>
      <c r="E4" s="1170"/>
      <c r="F4" s="714"/>
      <c r="G4" s="715"/>
    </row>
    <row r="5" spans="2:7" ht="18" x14ac:dyDescent="0.15">
      <c r="B5" s="1163" t="s">
        <v>51</v>
      </c>
      <c r="C5" s="1164"/>
      <c r="D5" s="1164"/>
      <c r="E5" s="1164"/>
      <c r="F5" s="1165"/>
      <c r="G5" s="648"/>
    </row>
    <row r="6" spans="2:7" ht="18" x14ac:dyDescent="0.15">
      <c r="B6" s="603"/>
      <c r="C6" s="597"/>
      <c r="D6" s="597"/>
      <c r="E6" s="597"/>
      <c r="F6" s="597"/>
      <c r="G6" s="6"/>
    </row>
    <row r="7" spans="2:7" x14ac:dyDescent="0.15">
      <c r="B7" s="7" t="s">
        <v>52</v>
      </c>
      <c r="C7" s="1166" t="s">
        <v>53</v>
      </c>
      <c r="D7" s="1167"/>
      <c r="E7" s="1168"/>
      <c r="F7" s="15"/>
      <c r="G7" s="8"/>
    </row>
    <row r="8" spans="2:7" x14ac:dyDescent="0.15">
      <c r="B8" s="7" t="s">
        <v>54</v>
      </c>
      <c r="C8" s="1166" t="s">
        <v>55</v>
      </c>
      <c r="D8" s="1167"/>
      <c r="E8" s="1168"/>
      <c r="F8" s="15"/>
      <c r="G8" s="8"/>
    </row>
    <row r="9" spans="2:7" x14ac:dyDescent="0.15">
      <c r="B9" s="7" t="s">
        <v>56</v>
      </c>
      <c r="C9" s="1166" t="s">
        <v>57</v>
      </c>
      <c r="D9" s="1167"/>
      <c r="E9" s="1168"/>
      <c r="F9" s="15"/>
      <c r="G9" s="8"/>
    </row>
    <row r="10" spans="2:7" x14ac:dyDescent="0.15">
      <c r="B10" s="7" t="s">
        <v>58</v>
      </c>
      <c r="C10" s="1166" t="s">
        <v>59</v>
      </c>
      <c r="D10" s="1167"/>
      <c r="E10" s="1168"/>
      <c r="F10" s="15"/>
      <c r="G10" s="8"/>
    </row>
    <row r="11" spans="2:7" x14ac:dyDescent="0.15">
      <c r="B11" s="7" t="s">
        <v>60</v>
      </c>
      <c r="C11" s="1166" t="s">
        <v>61</v>
      </c>
      <c r="D11" s="1167"/>
      <c r="E11" s="1168"/>
      <c r="F11" s="15"/>
      <c r="G11" s="8"/>
    </row>
    <row r="12" spans="2:7" x14ac:dyDescent="0.15">
      <c r="B12" s="7" t="s">
        <v>62</v>
      </c>
      <c r="C12" s="1190" t="s">
        <v>63</v>
      </c>
      <c r="D12" s="1191"/>
      <c r="E12" s="1192"/>
      <c r="F12" s="15"/>
      <c r="G12" s="8"/>
    </row>
    <row r="13" spans="2:7" x14ac:dyDescent="0.15">
      <c r="B13" s="7" t="s">
        <v>64</v>
      </c>
      <c r="C13" s="1149">
        <v>44927</v>
      </c>
      <c r="D13" s="1150"/>
      <c r="E13" s="1151"/>
      <c r="F13" s="17"/>
      <c r="G13" s="1"/>
    </row>
    <row r="14" spans="2:7" x14ac:dyDescent="0.15">
      <c r="B14" s="7" t="s">
        <v>65</v>
      </c>
      <c r="C14" s="1149">
        <v>45658</v>
      </c>
      <c r="D14" s="1150"/>
      <c r="E14" s="1151"/>
      <c r="F14" s="17"/>
      <c r="G14" s="1"/>
    </row>
    <row r="15" spans="2:7" x14ac:dyDescent="0.15">
      <c r="B15" s="7" t="s">
        <v>66</v>
      </c>
      <c r="C15" s="1146" t="s">
        <v>67</v>
      </c>
      <c r="D15" s="1147"/>
      <c r="E15" s="1148"/>
      <c r="F15" s="17"/>
      <c r="G15" s="8"/>
    </row>
    <row r="16" spans="2:7" x14ac:dyDescent="0.15">
      <c r="B16" s="35" t="str">
        <f>IF(C15="Consortium","Consortium Name:",IF(C15="FOA (Funding Opportunity Announcement)","FOA Title:",""))</f>
        <v/>
      </c>
      <c r="C16" s="1182"/>
      <c r="D16" s="1182"/>
      <c r="E16" s="1182"/>
      <c r="F16" s="15"/>
      <c r="G16" s="8"/>
    </row>
    <row r="17" spans="2:7" x14ac:dyDescent="0.15">
      <c r="B17" s="35" t="str">
        <f>IF(C15="FOA (Funding Opportunity Announcement)","FOA Topic Area (if multiple):","")</f>
        <v/>
      </c>
      <c r="C17" s="1183"/>
      <c r="D17" s="1183"/>
      <c r="E17" s="1183"/>
      <c r="F17" s="15"/>
      <c r="G17" s="8"/>
    </row>
    <row r="18" spans="2:7" x14ac:dyDescent="0.15">
      <c r="B18" s="35" t="str">
        <f>IF(C15="FOA (Funding Opportunity Announcement)","FOA Subtopic (if any):","")</f>
        <v/>
      </c>
      <c r="C18" s="1184"/>
      <c r="D18" s="1184"/>
      <c r="E18" s="1184"/>
      <c r="F18" s="15"/>
      <c r="G18" s="8"/>
    </row>
    <row r="19" spans="2:7" ht="244.5" hidden="1" customHeight="1" x14ac:dyDescent="0.15">
      <c r="B19" s="646" t="s">
        <v>68</v>
      </c>
      <c r="C19" s="1152" t="s">
        <v>69</v>
      </c>
      <c r="D19" s="1153"/>
      <c r="E19" s="1153"/>
      <c r="F19" s="1154"/>
      <c r="G19" s="8"/>
    </row>
    <row r="20" spans="2:7" ht="18" x14ac:dyDescent="0.15">
      <c r="B20" s="1163" t="s">
        <v>70</v>
      </c>
      <c r="C20" s="1165"/>
      <c r="D20" s="1165"/>
      <c r="E20" s="1165"/>
      <c r="F20" s="1165"/>
      <c r="G20" s="648"/>
    </row>
    <row r="21" spans="2:7" ht="15.75" customHeight="1" x14ac:dyDescent="0.15">
      <c r="B21" s="603"/>
      <c r="C21" s="597"/>
      <c r="D21" s="597"/>
      <c r="E21" s="597"/>
      <c r="F21" s="597"/>
      <c r="G21" s="6"/>
    </row>
    <row r="22" spans="2:7" ht="58.5" customHeight="1" x14ac:dyDescent="0.15">
      <c r="B22" s="1188" t="s">
        <v>71</v>
      </c>
      <c r="C22" s="1189"/>
      <c r="D22" s="1189"/>
      <c r="E22" s="1189"/>
      <c r="F22" s="1189"/>
      <c r="G22" s="6"/>
    </row>
    <row r="23" spans="2:7" ht="15.75" customHeight="1" x14ac:dyDescent="0.15">
      <c r="B23" s="603"/>
      <c r="C23" s="597"/>
      <c r="D23" s="597"/>
      <c r="E23" s="597"/>
      <c r="F23" s="597"/>
      <c r="G23" s="6"/>
    </row>
    <row r="24" spans="2:7" ht="15.75" customHeight="1" x14ac:dyDescent="0.15">
      <c r="B24" s="7" t="s">
        <v>72</v>
      </c>
      <c r="C24" s="40" t="s">
        <v>73</v>
      </c>
      <c r="D24" s="597"/>
      <c r="E24" s="597"/>
      <c r="F24" s="597"/>
      <c r="G24" s="6"/>
    </row>
    <row r="25" spans="2:7" ht="40.5" customHeight="1" x14ac:dyDescent="0.15">
      <c r="B25" s="603"/>
      <c r="C25" s="1185" t="s">
        <v>74</v>
      </c>
      <c r="D25" s="1185"/>
      <c r="E25" s="1185"/>
      <c r="F25" s="1185"/>
      <c r="G25" s="6"/>
    </row>
    <row r="26" spans="2:7" ht="15.75" customHeight="1" x14ac:dyDescent="0.15">
      <c r="B26" s="603"/>
      <c r="C26" s="597"/>
      <c r="D26" s="597"/>
      <c r="E26" s="597"/>
      <c r="F26" s="597"/>
      <c r="G26" s="6"/>
    </row>
    <row r="27" spans="2:7" ht="28" x14ac:dyDescent="0.15">
      <c r="B27" s="646" t="s">
        <v>75</v>
      </c>
      <c r="C27" s="19"/>
      <c r="D27" s="13" t="s">
        <v>76</v>
      </c>
      <c r="E27" s="13" t="s">
        <v>77</v>
      </c>
      <c r="F27" s="13" t="s">
        <v>78</v>
      </c>
      <c r="G27" s="666"/>
    </row>
    <row r="28" spans="2:7" ht="52" x14ac:dyDescent="0.15">
      <c r="B28" s="1145"/>
      <c r="C28" s="19"/>
      <c r="D28" s="65" t="s">
        <v>79</v>
      </c>
      <c r="E28" s="65" t="s">
        <v>80</v>
      </c>
      <c r="F28" s="65" t="s">
        <v>81</v>
      </c>
      <c r="G28" s="10"/>
    </row>
    <row r="29" spans="2:7" ht="28" x14ac:dyDescent="0.15">
      <c r="B29" s="1145"/>
      <c r="C29" s="20" t="s">
        <v>82</v>
      </c>
      <c r="D29" s="11" t="s">
        <v>83</v>
      </c>
      <c r="E29" s="11" t="s">
        <v>73</v>
      </c>
      <c r="F29" s="11" t="s">
        <v>84</v>
      </c>
      <c r="G29" s="25"/>
    </row>
    <row r="30" spans="2:7" ht="28" x14ac:dyDescent="0.15">
      <c r="B30" s="7"/>
      <c r="C30" s="20" t="s">
        <v>85</v>
      </c>
      <c r="D30" s="11" t="s">
        <v>86</v>
      </c>
      <c r="E30" s="11" t="s">
        <v>73</v>
      </c>
      <c r="F30" s="11" t="s">
        <v>84</v>
      </c>
      <c r="G30" s="25"/>
    </row>
    <row r="31" spans="2:7" ht="28" x14ac:dyDescent="0.15">
      <c r="B31" s="7"/>
      <c r="C31" s="20" t="s">
        <v>87</v>
      </c>
      <c r="D31" s="11"/>
      <c r="E31" s="11"/>
      <c r="F31" s="11"/>
      <c r="G31" s="25"/>
    </row>
    <row r="32" spans="2:7" x14ac:dyDescent="0.15">
      <c r="B32" s="7"/>
      <c r="C32" s="21"/>
      <c r="D32" s="21"/>
      <c r="E32" s="21"/>
      <c r="F32" s="21"/>
      <c r="G32" s="26"/>
    </row>
    <row r="33" spans="2:7" ht="18" x14ac:dyDescent="0.15">
      <c r="B33" s="1157" t="s">
        <v>88</v>
      </c>
      <c r="C33" s="1158"/>
      <c r="D33" s="1176" t="s">
        <v>89</v>
      </c>
      <c r="E33" s="1177"/>
      <c r="F33" s="1178"/>
      <c r="G33" s="648"/>
    </row>
    <row r="34" spans="2:7" ht="18" x14ac:dyDescent="0.15">
      <c r="B34" s="603"/>
      <c r="C34" s="597"/>
      <c r="D34" s="1179"/>
      <c r="E34" s="1180"/>
      <c r="F34" s="1181"/>
      <c r="G34" s="6"/>
    </row>
    <row r="35" spans="2:7" ht="27.75" customHeight="1" x14ac:dyDescent="0.15">
      <c r="B35" s="646" t="s">
        <v>90</v>
      </c>
      <c r="C35" s="181" t="s">
        <v>91</v>
      </c>
      <c r="D35" s="718" t="s">
        <v>92</v>
      </c>
      <c r="E35" s="1186" t="s">
        <v>93</v>
      </c>
      <c r="F35" s="1187"/>
      <c r="G35" s="6"/>
    </row>
    <row r="36" spans="2:7" ht="18" x14ac:dyDescent="0.15">
      <c r="B36" s="603"/>
      <c r="C36" s="119" t="s">
        <v>94</v>
      </c>
      <c r="D36" s="599" t="s">
        <v>95</v>
      </c>
      <c r="E36" s="1143"/>
      <c r="F36" s="1144"/>
      <c r="G36" s="6"/>
    </row>
    <row r="37" spans="2:7" ht="18" x14ac:dyDescent="0.15">
      <c r="B37" s="603"/>
      <c r="C37" s="119" t="s">
        <v>96</v>
      </c>
      <c r="D37" s="599" t="s">
        <v>97</v>
      </c>
      <c r="E37" s="1143" t="s">
        <v>98</v>
      </c>
      <c r="F37" s="1144"/>
      <c r="G37" s="6"/>
    </row>
    <row r="38" spans="2:7" ht="18" x14ac:dyDescent="0.15">
      <c r="B38" s="603"/>
      <c r="C38" s="119" t="s">
        <v>99</v>
      </c>
      <c r="D38" s="599" t="s">
        <v>95</v>
      </c>
      <c r="E38" s="1143"/>
      <c r="F38" s="1144"/>
      <c r="G38" s="6"/>
    </row>
    <row r="39" spans="2:7" ht="18" x14ac:dyDescent="0.15">
      <c r="B39" s="603"/>
      <c r="C39" s="597"/>
      <c r="D39" s="600"/>
      <c r="E39" s="600"/>
      <c r="F39" s="600"/>
      <c r="G39" s="6"/>
    </row>
    <row r="40" spans="2:7" ht="28" x14ac:dyDescent="0.15">
      <c r="B40" s="646" t="s">
        <v>100</v>
      </c>
      <c r="C40" s="181" t="s">
        <v>101</v>
      </c>
      <c r="D40" s="175" t="s">
        <v>92</v>
      </c>
      <c r="E40" s="1155" t="s">
        <v>102</v>
      </c>
      <c r="F40" s="1156"/>
      <c r="G40" s="6"/>
    </row>
    <row r="41" spans="2:7" ht="18" x14ac:dyDescent="0.15">
      <c r="B41" s="646"/>
      <c r="C41" s="119" t="s">
        <v>103</v>
      </c>
      <c r="D41" s="599" t="s">
        <v>95</v>
      </c>
      <c r="E41" s="1143"/>
      <c r="F41" s="1144"/>
      <c r="G41" s="6"/>
    </row>
    <row r="42" spans="2:7" ht="18" x14ac:dyDescent="0.15">
      <c r="B42" s="646"/>
      <c r="C42" s="119" t="s">
        <v>104</v>
      </c>
      <c r="D42" s="599" t="s">
        <v>95</v>
      </c>
      <c r="E42" s="1143"/>
      <c r="F42" s="1144"/>
      <c r="G42" s="6"/>
    </row>
    <row r="43" spans="2:7" ht="18" x14ac:dyDescent="0.15">
      <c r="B43" s="646"/>
      <c r="C43" s="119" t="s">
        <v>105</v>
      </c>
      <c r="D43" s="599" t="s">
        <v>95</v>
      </c>
      <c r="E43" s="1143"/>
      <c r="F43" s="1144"/>
      <c r="G43" s="6"/>
    </row>
    <row r="44" spans="2:7" ht="18" x14ac:dyDescent="0.15">
      <c r="B44" s="646"/>
      <c r="C44" s="119" t="s">
        <v>106</v>
      </c>
      <c r="D44" s="599" t="s">
        <v>95</v>
      </c>
      <c r="E44" s="1143"/>
      <c r="F44" s="1144"/>
      <c r="G44" s="6"/>
    </row>
    <row r="45" spans="2:7" ht="18" x14ac:dyDescent="0.15">
      <c r="B45" s="646"/>
      <c r="C45" s="67"/>
      <c r="D45" s="68"/>
      <c r="E45" s="68"/>
      <c r="F45" s="68"/>
      <c r="G45" s="6"/>
    </row>
    <row r="46" spans="2:7" ht="28" x14ac:dyDescent="0.15">
      <c r="B46" s="646" t="s">
        <v>107</v>
      </c>
      <c r="C46" s="181" t="s">
        <v>108</v>
      </c>
      <c r="D46" s="175" t="s">
        <v>92</v>
      </c>
      <c r="E46" s="1155" t="s">
        <v>102</v>
      </c>
      <c r="F46" s="1156"/>
      <c r="G46" s="6"/>
    </row>
    <row r="47" spans="2:7" ht="19.5" customHeight="1" x14ac:dyDescent="0.15">
      <c r="B47" s="1145" t="s">
        <v>109</v>
      </c>
      <c r="C47" s="119" t="s">
        <v>110</v>
      </c>
      <c r="D47" s="599" t="s">
        <v>95</v>
      </c>
      <c r="E47" s="1143"/>
      <c r="F47" s="1144"/>
      <c r="G47" s="6"/>
    </row>
    <row r="48" spans="2:7" ht="18" x14ac:dyDescent="0.15">
      <c r="B48" s="1145"/>
      <c r="C48" s="119" t="s">
        <v>111</v>
      </c>
      <c r="D48" s="599" t="s">
        <v>97</v>
      </c>
      <c r="E48" s="1143" t="s">
        <v>112</v>
      </c>
      <c r="F48" s="1144"/>
      <c r="G48" s="6"/>
    </row>
    <row r="49" spans="2:7" ht="18" x14ac:dyDescent="0.15">
      <c r="B49" s="1145"/>
      <c r="C49" s="119" t="s">
        <v>113</v>
      </c>
      <c r="D49" s="599" t="s">
        <v>95</v>
      </c>
      <c r="E49" s="1143"/>
      <c r="F49" s="1144"/>
      <c r="G49" s="6"/>
    </row>
    <row r="50" spans="2:7" ht="18" x14ac:dyDescent="0.15">
      <c r="B50" s="1145"/>
      <c r="C50" s="119" t="s">
        <v>114</v>
      </c>
      <c r="D50" s="599" t="s">
        <v>95</v>
      </c>
      <c r="E50" s="1143"/>
      <c r="F50" s="1144"/>
      <c r="G50" s="6"/>
    </row>
    <row r="51" spans="2:7" ht="18" x14ac:dyDescent="0.15">
      <c r="B51" s="1145"/>
      <c r="C51" s="119" t="s">
        <v>115</v>
      </c>
      <c r="D51" s="599" t="s">
        <v>95</v>
      </c>
      <c r="E51" s="1143"/>
      <c r="F51" s="1144"/>
      <c r="G51" s="6"/>
    </row>
    <row r="52" spans="2:7" ht="18" x14ac:dyDescent="0.15">
      <c r="B52" s="601"/>
      <c r="C52" s="119" t="s">
        <v>116</v>
      </c>
      <c r="D52" s="599" t="s">
        <v>95</v>
      </c>
      <c r="E52" s="1143"/>
      <c r="F52" s="1144"/>
      <c r="G52" s="6"/>
    </row>
    <row r="53" spans="2:7" ht="18" x14ac:dyDescent="0.15">
      <c r="B53" s="601"/>
      <c r="C53" s="119" t="s">
        <v>117</v>
      </c>
      <c r="D53" s="599" t="s">
        <v>95</v>
      </c>
      <c r="E53" s="1143"/>
      <c r="F53" s="1144"/>
      <c r="G53" s="6"/>
    </row>
    <row r="54" spans="2:7" ht="18" x14ac:dyDescent="0.15">
      <c r="B54" s="601"/>
      <c r="C54" s="119" t="s">
        <v>118</v>
      </c>
      <c r="D54" s="599" t="s">
        <v>95</v>
      </c>
      <c r="E54" s="1143"/>
      <c r="F54" s="1144"/>
      <c r="G54" s="6"/>
    </row>
    <row r="55" spans="2:7" ht="18" x14ac:dyDescent="0.15">
      <c r="B55" s="601"/>
      <c r="C55" s="119" t="s">
        <v>119</v>
      </c>
      <c r="D55" s="599" t="s">
        <v>95</v>
      </c>
      <c r="E55" s="1143"/>
      <c r="F55" s="1144"/>
      <c r="G55" s="6"/>
    </row>
    <row r="56" spans="2:7" ht="18" x14ac:dyDescent="0.15">
      <c r="B56" s="601"/>
      <c r="C56" s="602"/>
      <c r="D56" s="49"/>
      <c r="E56" s="602"/>
      <c r="F56" s="602"/>
      <c r="G56" s="6"/>
    </row>
    <row r="57" spans="2:7" ht="18" hidden="1" x14ac:dyDescent="0.15">
      <c r="B57" s="1163" t="s">
        <v>120</v>
      </c>
      <c r="C57" s="1165"/>
      <c r="D57" s="1165"/>
      <c r="E57" s="1165"/>
      <c r="F57" s="1165"/>
      <c r="G57" s="648"/>
    </row>
    <row r="58" spans="2:7" ht="18" hidden="1" x14ac:dyDescent="0.15">
      <c r="B58" s="603"/>
      <c r="C58" s="39"/>
      <c r="D58" s="39"/>
      <c r="E58" s="39"/>
      <c r="F58" s="39"/>
      <c r="G58" s="6"/>
    </row>
    <row r="59" spans="2:7" ht="15.75" hidden="1" customHeight="1" x14ac:dyDescent="0.15">
      <c r="B59" s="1145" t="s">
        <v>121</v>
      </c>
      <c r="C59" s="1143"/>
      <c r="D59" s="1172"/>
      <c r="E59" s="1172"/>
      <c r="F59" s="1144"/>
      <c r="G59" s="29"/>
    </row>
    <row r="60" spans="2:7" hidden="1" x14ac:dyDescent="0.15">
      <c r="B60" s="1145"/>
      <c r="C60" s="1143"/>
      <c r="D60" s="1172"/>
      <c r="E60" s="1172"/>
      <c r="F60" s="1144"/>
      <c r="G60" s="30"/>
    </row>
    <row r="61" spans="2:7" hidden="1" x14ac:dyDescent="0.15">
      <c r="B61" s="1145"/>
      <c r="C61" s="1143"/>
      <c r="D61" s="1172"/>
      <c r="E61" s="1172"/>
      <c r="F61" s="1144"/>
      <c r="G61" s="30"/>
    </row>
    <row r="62" spans="2:7" hidden="1" x14ac:dyDescent="0.15">
      <c r="B62" s="1145"/>
      <c r="C62" s="1143"/>
      <c r="D62" s="1172"/>
      <c r="E62" s="1172"/>
      <c r="F62" s="1144"/>
      <c r="G62" s="30"/>
    </row>
    <row r="63" spans="2:7" hidden="1" x14ac:dyDescent="0.15">
      <c r="B63" s="1145"/>
      <c r="C63" s="1143"/>
      <c r="D63" s="1172"/>
      <c r="E63" s="1172"/>
      <c r="F63" s="1144"/>
      <c r="G63" s="30"/>
    </row>
    <row r="64" spans="2:7" hidden="1" x14ac:dyDescent="0.15">
      <c r="B64" s="2"/>
      <c r="C64" s="3"/>
      <c r="D64" s="3"/>
      <c r="E64" s="3"/>
      <c r="F64" s="3"/>
      <c r="G64" s="4"/>
    </row>
    <row r="65" spans="2:7" ht="18" x14ac:dyDescent="0.15">
      <c r="B65" s="1163" t="s">
        <v>122</v>
      </c>
      <c r="C65" s="1165"/>
      <c r="D65" s="1165"/>
      <c r="E65" s="1165"/>
      <c r="F65" s="1165"/>
      <c r="G65" s="648"/>
    </row>
    <row r="66" spans="2:7" ht="18" x14ac:dyDescent="0.15">
      <c r="B66" s="603"/>
      <c r="C66" s="39"/>
      <c r="D66" s="39"/>
      <c r="E66" s="39"/>
      <c r="F66" s="39"/>
      <c r="G66" s="6"/>
    </row>
    <row r="67" spans="2:7" ht="15.75" customHeight="1" x14ac:dyDescent="0.15">
      <c r="B67" s="1145" t="s">
        <v>123</v>
      </c>
      <c r="C67" s="1143"/>
      <c r="D67" s="1172"/>
      <c r="E67" s="1172"/>
      <c r="F67" s="1144"/>
      <c r="G67" s="29"/>
    </row>
    <row r="68" spans="2:7" x14ac:dyDescent="0.15">
      <c r="B68" s="1145"/>
      <c r="C68" s="1173"/>
      <c r="D68" s="1174"/>
      <c r="E68" s="1174"/>
      <c r="F68" s="1175"/>
      <c r="G68" s="30"/>
    </row>
    <row r="69" spans="2:7" x14ac:dyDescent="0.15">
      <c r="B69" s="1145"/>
      <c r="C69" s="1173"/>
      <c r="D69" s="1174"/>
      <c r="E69" s="1174"/>
      <c r="F69" s="1175"/>
      <c r="G69" s="30"/>
    </row>
    <row r="70" spans="2:7" x14ac:dyDescent="0.15">
      <c r="B70" s="1145"/>
      <c r="C70" s="1173"/>
      <c r="D70" s="1174"/>
      <c r="E70" s="1174"/>
      <c r="F70" s="1175"/>
      <c r="G70" s="30"/>
    </row>
    <row r="71" spans="2:7" x14ac:dyDescent="0.15">
      <c r="B71" s="1145"/>
      <c r="C71" s="1173"/>
      <c r="D71" s="1174"/>
      <c r="E71" s="1174"/>
      <c r="F71" s="1175"/>
      <c r="G71" s="30"/>
    </row>
    <row r="72" spans="2:7" x14ac:dyDescent="0.15">
      <c r="B72" s="2"/>
      <c r="C72" s="3"/>
      <c r="D72" s="3"/>
      <c r="E72" s="3"/>
      <c r="F72" s="3"/>
      <c r="G72" s="4"/>
    </row>
    <row r="73" spans="2:7" ht="15" x14ac:dyDescent="0.2">
      <c r="B73" s="1171" t="s">
        <v>124</v>
      </c>
      <c r="C73" s="1171"/>
      <c r="D73" s="1171"/>
      <c r="E73" s="1171"/>
      <c r="F73" s="1171"/>
      <c r="G73" s="1171"/>
    </row>
  </sheetData>
  <mergeCells count="56">
    <mergeCell ref="C10:E10"/>
    <mergeCell ref="D33:F34"/>
    <mergeCell ref="C16:E18"/>
    <mergeCell ref="B57:F57"/>
    <mergeCell ref="C25:F25"/>
    <mergeCell ref="B28:B29"/>
    <mergeCell ref="B20:F20"/>
    <mergeCell ref="E35:F35"/>
    <mergeCell ref="E36:F36"/>
    <mergeCell ref="E37:F37"/>
    <mergeCell ref="B22:F22"/>
    <mergeCell ref="E38:F38"/>
    <mergeCell ref="E40:F40"/>
    <mergeCell ref="E41:F41"/>
    <mergeCell ref="C11:E11"/>
    <mergeCell ref="C12:E12"/>
    <mergeCell ref="B73:G73"/>
    <mergeCell ref="B59:B63"/>
    <mergeCell ref="C59:F59"/>
    <mergeCell ref="C60:F60"/>
    <mergeCell ref="C61:F61"/>
    <mergeCell ref="C62:F62"/>
    <mergeCell ref="C63:F63"/>
    <mergeCell ref="C67:F67"/>
    <mergeCell ref="C68:F68"/>
    <mergeCell ref="C69:F69"/>
    <mergeCell ref="B65:F65"/>
    <mergeCell ref="B67:B71"/>
    <mergeCell ref="C70:F70"/>
    <mergeCell ref="C71:F71"/>
    <mergeCell ref="B1:F1"/>
    <mergeCell ref="B2:F2"/>
    <mergeCell ref="B5:F5"/>
    <mergeCell ref="C9:E9"/>
    <mergeCell ref="C7:E7"/>
    <mergeCell ref="C8:E8"/>
    <mergeCell ref="D4:E4"/>
    <mergeCell ref="C15:E15"/>
    <mergeCell ref="C13:E13"/>
    <mergeCell ref="C14:E14"/>
    <mergeCell ref="C19:F19"/>
    <mergeCell ref="E53:F53"/>
    <mergeCell ref="E42:F42"/>
    <mergeCell ref="E43:F43"/>
    <mergeCell ref="E44:F44"/>
    <mergeCell ref="E46:F46"/>
    <mergeCell ref="B33:C33"/>
    <mergeCell ref="E54:F54"/>
    <mergeCell ref="E55:F55"/>
    <mergeCell ref="B47:B51"/>
    <mergeCell ref="E47:F47"/>
    <mergeCell ref="E48:F48"/>
    <mergeCell ref="E49:F49"/>
    <mergeCell ref="E50:F50"/>
    <mergeCell ref="E51:F51"/>
    <mergeCell ref="E52:F52"/>
  </mergeCells>
  <dataValidations count="1">
    <dataValidation type="list" allowBlank="1" showInputMessage="1" showErrorMessage="1" sqref="D36:D38 D41:D44 D47:D56" xr:uid="{414BD182-1BB2-46AB-8A13-1DD255653767}">
      <formula1>"Yes,No"</formula1>
    </dataValidation>
  </dataValidations>
  <hyperlinks>
    <hyperlink ref="B73:D73" location="FullDataLanding" display="Return to Planning Page" xr:uid="{DB5678BB-1B75-4DFA-9AF0-760B600F632E}"/>
    <hyperlink ref="D4:E4" location="'Rapid Data Entry Home Page'!A1" display="Return to Rapid Data Entry Home Page" xr:uid="{E347D0EC-4640-440F-BF53-1FC9890CC4DB}"/>
    <hyperlink ref="C4" location="'Full Entry Home Page'!A1" display="Return to Full Entry Home Page" xr:uid="{1CB78A4F-17AA-45A4-B7D7-516B309A4A9A}"/>
    <hyperlink ref="B73:G73" location="FullDataLanding" display="Return to Home Page" xr:uid="{431EDD11-3D90-4048-A917-1CA0B23B386B}"/>
  </hyperlinks>
  <pageMargins left="0.25" right="0.25" top="0.75" bottom="0.75" header="0.3" footer="0.3"/>
  <pageSetup scale="74" fitToHeight="0"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BC85D6E-8C4A-4E3F-B746-E7BD5FB10187}">
          <x14:formula1>
            <xm:f>'Dropdown Menu Options'!$B$15:$B$20</xm:f>
          </x14:formula1>
          <xm:sqref>C15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EAD82-DCE2-4BA0-BD76-FD274429E60E}">
  <sheetPr>
    <tabColor rgb="FF00B050"/>
  </sheetPr>
  <dimension ref="A1:O74"/>
  <sheetViews>
    <sheetView showGridLines="0" topLeftCell="A18" zoomScale="128" zoomScaleNormal="128" workbookViewId="0">
      <selection activeCell="H25" sqref="H25"/>
    </sheetView>
  </sheetViews>
  <sheetFormatPr baseColWidth="10" defaultColWidth="8.83203125" defaultRowHeight="15" x14ac:dyDescent="0.2"/>
  <cols>
    <col min="1" max="1" width="2.6640625" customWidth="1"/>
    <col min="2" max="2" width="33.33203125" customWidth="1"/>
    <col min="3" max="3" width="39" customWidth="1"/>
    <col min="4" max="4" width="16.33203125" customWidth="1"/>
    <col min="5" max="5" width="23.6640625" customWidth="1"/>
    <col min="6" max="6" width="5.5" customWidth="1"/>
    <col min="7" max="7" width="27.5" customWidth="1"/>
    <col min="8" max="8" width="34.6640625" customWidth="1"/>
    <col min="9" max="9" width="22.6640625" customWidth="1"/>
    <col min="10" max="10" width="2.6640625" customWidth="1"/>
    <col min="11" max="11" width="3" customWidth="1"/>
  </cols>
  <sheetData>
    <row r="1" spans="1:11" ht="15.75" customHeight="1" x14ac:dyDescent="0.2">
      <c r="A1" s="5"/>
      <c r="B1" s="1159" t="s">
        <v>0</v>
      </c>
      <c r="C1" s="1160"/>
      <c r="D1" s="1160"/>
      <c r="E1" s="1160"/>
      <c r="F1" s="1160"/>
      <c r="G1" s="1160"/>
      <c r="H1" s="1160"/>
      <c r="I1" s="1160"/>
      <c r="J1" s="665"/>
      <c r="K1" s="5"/>
    </row>
    <row r="2" spans="1:11" ht="21" customHeight="1" x14ac:dyDescent="0.2">
      <c r="A2" s="5"/>
      <c r="B2" s="1197" t="s">
        <v>1</v>
      </c>
      <c r="C2" s="1198"/>
      <c r="D2" s="1198"/>
      <c r="E2" s="1198"/>
      <c r="F2" s="1198"/>
      <c r="G2" s="1198"/>
      <c r="H2" s="1198"/>
      <c r="I2" s="1199"/>
      <c r="J2" s="32"/>
      <c r="K2" s="5"/>
    </row>
    <row r="3" spans="1:11" ht="18" x14ac:dyDescent="0.2">
      <c r="A3" s="5"/>
      <c r="B3" s="1200" t="s">
        <v>125</v>
      </c>
      <c r="C3" s="1165"/>
      <c r="D3" s="1165"/>
      <c r="E3" s="1165"/>
      <c r="F3" s="1165"/>
      <c r="G3" s="1165"/>
      <c r="H3" s="1201"/>
      <c r="I3" s="1202"/>
      <c r="J3" s="648"/>
      <c r="K3" s="5"/>
    </row>
    <row r="4" spans="1:11" ht="18" x14ac:dyDescent="0.2">
      <c r="A4" s="5"/>
      <c r="B4" s="603"/>
      <c r="C4" s="1206" t="s">
        <v>126</v>
      </c>
      <c r="D4" s="1169"/>
      <c r="E4" s="1169"/>
      <c r="F4" s="1169"/>
      <c r="G4" s="1170"/>
      <c r="H4" s="597"/>
      <c r="I4" s="597"/>
      <c r="J4" s="6"/>
      <c r="K4" s="5"/>
    </row>
    <row r="5" spans="1:11" ht="18.5" customHeight="1" x14ac:dyDescent="0.2">
      <c r="A5" s="5"/>
      <c r="B5" s="1203" t="s">
        <v>127</v>
      </c>
      <c r="C5" s="1204"/>
      <c r="D5" s="1204"/>
      <c r="E5" s="1204"/>
      <c r="F5" s="1204"/>
      <c r="G5" s="1204"/>
      <c r="H5" s="1204"/>
      <c r="I5" s="1204"/>
      <c r="J5" s="1205"/>
      <c r="K5" s="5"/>
    </row>
    <row r="6" spans="1:11" ht="18.5" customHeight="1" x14ac:dyDescent="0.2">
      <c r="A6" s="5"/>
      <c r="B6" s="1195" t="s">
        <v>128</v>
      </c>
      <c r="C6" s="1196"/>
      <c r="D6" s="1196"/>
      <c r="E6" s="1196"/>
      <c r="F6" s="1196"/>
      <c r="G6" s="1196"/>
      <c r="H6" s="1196"/>
      <c r="I6" s="1196"/>
      <c r="J6" s="6"/>
      <c r="K6" s="5"/>
    </row>
    <row r="7" spans="1:11" ht="18.5" customHeight="1" x14ac:dyDescent="0.2">
      <c r="A7" s="5"/>
      <c r="B7" s="304"/>
      <c r="C7" s="24"/>
      <c r="D7" s="24"/>
      <c r="E7" s="24"/>
      <c r="F7" s="24"/>
      <c r="G7" s="24"/>
      <c r="H7" s="24"/>
      <c r="I7" s="24"/>
      <c r="J7" s="25"/>
      <c r="K7" s="5"/>
    </row>
    <row r="8" spans="1:11" ht="51.75" customHeight="1" x14ac:dyDescent="0.2">
      <c r="A8" s="5"/>
      <c r="B8" s="1212" t="s">
        <v>129</v>
      </c>
      <c r="C8" s="1213"/>
      <c r="D8" s="1213"/>
      <c r="E8" s="1213"/>
      <c r="F8" s="1213"/>
      <c r="G8" s="1213"/>
      <c r="H8" s="1213"/>
      <c r="I8" s="1213"/>
      <c r="J8" s="25"/>
      <c r="K8" s="5"/>
    </row>
    <row r="9" spans="1:11" ht="18.5" customHeight="1" x14ac:dyDescent="0.2">
      <c r="A9" s="5"/>
      <c r="B9" s="724"/>
      <c r="C9" s="725"/>
      <c r="D9" s="725"/>
      <c r="E9" s="725"/>
      <c r="F9" s="725"/>
      <c r="G9" s="725"/>
      <c r="H9" s="725"/>
      <c r="I9" s="725"/>
      <c r="J9" s="726"/>
      <c r="K9" s="5"/>
    </row>
    <row r="10" spans="1:11" ht="18.5" customHeight="1" x14ac:dyDescent="0.2">
      <c r="A10" s="5"/>
      <c r="B10" s="727"/>
      <c r="C10" s="60"/>
      <c r="D10" s="60"/>
      <c r="E10" s="60"/>
      <c r="F10" s="60"/>
      <c r="G10" s="60"/>
      <c r="H10" s="60"/>
      <c r="I10" s="60"/>
      <c r="J10" s="728"/>
      <c r="K10" s="5"/>
    </row>
    <row r="11" spans="1:11" ht="18.5" customHeight="1" x14ac:dyDescent="0.2">
      <c r="A11" s="5"/>
      <c r="B11" s="1214" t="s">
        <v>130</v>
      </c>
      <c r="C11" s="1215"/>
      <c r="D11" s="1215"/>
      <c r="E11" s="1215"/>
      <c r="F11" s="1215"/>
      <c r="G11" s="1158"/>
      <c r="H11" s="1158"/>
      <c r="I11" s="1158"/>
      <c r="J11" s="989"/>
      <c r="K11" s="5"/>
    </row>
    <row r="12" spans="1:11" ht="18.5" customHeight="1" x14ac:dyDescent="0.2">
      <c r="A12" s="5"/>
      <c r="B12" s="970"/>
      <c r="C12" s="971"/>
      <c r="D12" s="971"/>
      <c r="E12" s="971"/>
      <c r="F12" s="971"/>
      <c r="G12" s="1230" t="s">
        <v>131</v>
      </c>
      <c r="H12" s="1231"/>
      <c r="I12" s="1231"/>
      <c r="J12" s="1232"/>
      <c r="K12" s="5"/>
    </row>
    <row r="13" spans="1:11" ht="18" x14ac:dyDescent="0.2">
      <c r="A13" s="5"/>
      <c r="B13" s="1228" t="s">
        <v>132</v>
      </c>
      <c r="C13" s="1229"/>
      <c r="D13" s="1229"/>
      <c r="E13" s="1229"/>
      <c r="F13" s="988"/>
      <c r="G13" s="1193" t="s">
        <v>133</v>
      </c>
      <c r="H13" s="1194"/>
      <c r="I13" s="1194"/>
      <c r="J13" s="1194"/>
      <c r="K13" s="5"/>
    </row>
    <row r="14" spans="1:11" ht="18" x14ac:dyDescent="0.2">
      <c r="A14" s="5"/>
      <c r="B14" s="1228"/>
      <c r="C14" s="1229"/>
      <c r="D14" s="1229"/>
      <c r="E14" s="1229"/>
      <c r="F14" s="988"/>
      <c r="G14" s="1193" t="s">
        <v>134</v>
      </c>
      <c r="H14" s="1194"/>
      <c r="I14" s="1194"/>
      <c r="J14" s="1194"/>
      <c r="K14" s="5"/>
    </row>
    <row r="15" spans="1:11" ht="18" x14ac:dyDescent="0.2">
      <c r="A15" s="5"/>
      <c r="B15" s="1228"/>
      <c r="C15" s="1229"/>
      <c r="D15" s="1229"/>
      <c r="E15" s="1229"/>
      <c r="F15" s="988"/>
      <c r="G15" s="1193" t="s">
        <v>135</v>
      </c>
      <c r="H15" s="1194"/>
      <c r="I15" s="1194"/>
      <c r="J15" s="1194"/>
      <c r="K15" s="5"/>
    </row>
    <row r="16" spans="1:11" ht="18" x14ac:dyDescent="0.2">
      <c r="A16" s="5"/>
      <c r="B16" s="1228"/>
      <c r="C16" s="1229"/>
      <c r="D16" s="1229"/>
      <c r="E16" s="1229"/>
      <c r="F16" s="988"/>
      <c r="G16" s="1233" t="s">
        <v>136</v>
      </c>
      <c r="H16" s="1234"/>
      <c r="I16" s="1234"/>
      <c r="J16" s="1234"/>
      <c r="K16" s="5"/>
    </row>
    <row r="17" spans="1:11" ht="38.75" customHeight="1" x14ac:dyDescent="0.2">
      <c r="A17" s="5"/>
      <c r="B17" s="1216" t="s">
        <v>137</v>
      </c>
      <c r="C17" s="1217"/>
      <c r="D17" s="1217"/>
      <c r="E17" s="1217"/>
      <c r="F17" s="1217"/>
      <c r="G17" s="1217"/>
      <c r="H17" s="1217"/>
      <c r="I17" s="1217"/>
      <c r="J17" s="990"/>
      <c r="K17" s="5"/>
    </row>
    <row r="18" spans="1:11" ht="18.5" customHeight="1" x14ac:dyDescent="0.2">
      <c r="A18" s="5"/>
      <c r="B18" s="1246" t="s">
        <v>138</v>
      </c>
      <c r="C18" s="1247"/>
      <c r="D18" s="1247"/>
      <c r="E18" s="1247"/>
      <c r="F18" s="1247"/>
      <c r="G18" s="1247"/>
      <c r="H18" s="1247"/>
      <c r="I18" s="1247"/>
      <c r="J18" s="1091"/>
      <c r="K18" s="5"/>
    </row>
    <row r="19" spans="1:11" ht="18.5" customHeight="1" x14ac:dyDescent="0.2">
      <c r="A19" s="5"/>
      <c r="B19" s="84"/>
      <c r="C19" s="730"/>
      <c r="D19" s="732"/>
      <c r="E19" s="732"/>
      <c r="F19" s="732"/>
      <c r="G19" s="732"/>
      <c r="H19" s="45"/>
      <c r="I19" s="45"/>
      <c r="J19" s="729"/>
      <c r="K19" s="5"/>
    </row>
    <row r="20" spans="1:11" ht="18.5" customHeight="1" x14ac:dyDescent="0.2">
      <c r="A20" s="5"/>
      <c r="B20" s="84"/>
      <c r="C20" s="733" t="s">
        <v>139</v>
      </c>
      <c r="D20" s="739">
        <v>2</v>
      </c>
      <c r="E20" s="739" t="s">
        <v>140</v>
      </c>
      <c r="F20" s="56" t="s">
        <v>141</v>
      </c>
      <c r="G20" s="734" t="s">
        <v>73</v>
      </c>
      <c r="H20" s="45" t="s">
        <v>142</v>
      </c>
      <c r="I20" s="45"/>
      <c r="J20" s="729"/>
      <c r="K20" s="5"/>
    </row>
    <row r="21" spans="1:11" ht="18.5" customHeight="1" x14ac:dyDescent="0.2">
      <c r="A21" s="5"/>
      <c r="B21" s="84"/>
      <c r="C21" s="730"/>
      <c r="D21" s="735" t="s">
        <v>143</v>
      </c>
      <c r="E21" s="736" t="s">
        <v>144</v>
      </c>
      <c r="F21" s="736"/>
      <c r="G21" s="737" t="s">
        <v>145</v>
      </c>
      <c r="H21" s="45"/>
      <c r="I21" s="45"/>
      <c r="J21" s="729"/>
      <c r="K21" s="5"/>
    </row>
    <row r="22" spans="1:11" ht="18.5" customHeight="1" x14ac:dyDescent="0.2">
      <c r="A22" s="5"/>
      <c r="B22" s="84"/>
      <c r="C22" s="730"/>
      <c r="D22" s="731" t="s">
        <v>146</v>
      </c>
      <c r="E22" s="732" t="s">
        <v>147</v>
      </c>
      <c r="F22" s="732"/>
      <c r="G22" s="732"/>
      <c r="H22" s="738"/>
      <c r="I22" s="45"/>
      <c r="J22" s="729"/>
      <c r="K22" s="5"/>
    </row>
    <row r="23" spans="1:11" ht="18.5" customHeight="1" x14ac:dyDescent="0.2">
      <c r="A23" s="5"/>
      <c r="B23" s="84"/>
      <c r="C23" s="730"/>
      <c r="D23" s="731"/>
      <c r="E23" s="732" t="s">
        <v>148</v>
      </c>
      <c r="F23" s="732"/>
      <c r="G23" s="732"/>
      <c r="H23" s="738"/>
      <c r="I23" s="45"/>
      <c r="J23" s="729"/>
      <c r="K23" s="5"/>
    </row>
    <row r="24" spans="1:11" ht="18.5" customHeight="1" x14ac:dyDescent="0.2">
      <c r="A24" s="5"/>
      <c r="B24" s="84"/>
      <c r="C24" s="730"/>
      <c r="D24" s="732"/>
      <c r="E24" s="732" t="s">
        <v>149</v>
      </c>
      <c r="F24" s="732"/>
      <c r="G24" s="732"/>
      <c r="H24" s="738"/>
      <c r="I24" s="45"/>
      <c r="J24" s="729"/>
      <c r="K24" s="5"/>
    </row>
    <row r="25" spans="1:11" ht="18.5" customHeight="1" x14ac:dyDescent="0.2">
      <c r="A25" s="5"/>
      <c r="B25" s="84"/>
      <c r="C25" s="730"/>
      <c r="D25" s="732"/>
      <c r="E25" s="732" t="s">
        <v>150</v>
      </c>
      <c r="F25" s="732"/>
      <c r="G25" s="732"/>
      <c r="H25" s="738"/>
      <c r="I25" s="45"/>
      <c r="J25" s="729"/>
      <c r="K25" s="5"/>
    </row>
    <row r="26" spans="1:11" ht="18.5" customHeight="1" x14ac:dyDescent="0.2">
      <c r="A26" s="5"/>
      <c r="B26" s="84"/>
      <c r="C26" s="730"/>
      <c r="D26" s="732"/>
      <c r="E26" s="732"/>
      <c r="F26" s="732"/>
      <c r="G26" s="732"/>
      <c r="H26" s="738"/>
      <c r="I26" s="45"/>
      <c r="J26" s="729"/>
      <c r="K26" s="5"/>
    </row>
    <row r="27" spans="1:11" ht="45.75" customHeight="1" x14ac:dyDescent="0.2">
      <c r="A27" s="5"/>
      <c r="B27" s="1218" t="s">
        <v>151</v>
      </c>
      <c r="C27" s="1219"/>
      <c r="D27" s="1219"/>
      <c r="E27" s="1219"/>
      <c r="F27" s="1219"/>
      <c r="G27" s="1219"/>
      <c r="H27" s="1219"/>
      <c r="I27" s="1219"/>
      <c r="J27" s="1091"/>
      <c r="K27" s="5"/>
    </row>
    <row r="28" spans="1:11" ht="18.5" customHeight="1" x14ac:dyDescent="0.2">
      <c r="A28" s="5"/>
      <c r="B28" s="84"/>
      <c r="C28" s="730"/>
      <c r="D28" s="732"/>
      <c r="E28" s="732"/>
      <c r="F28" s="732"/>
      <c r="G28" s="732"/>
      <c r="H28" s="45"/>
      <c r="I28" s="45"/>
      <c r="J28" s="729"/>
      <c r="K28" s="5"/>
    </row>
    <row r="29" spans="1:11" ht="18.5" customHeight="1" x14ac:dyDescent="0.2">
      <c r="A29" s="5"/>
      <c r="B29" s="84"/>
      <c r="C29" s="733" t="s">
        <v>152</v>
      </c>
      <c r="D29" s="739">
        <v>2</v>
      </c>
      <c r="E29" s="997" t="str">
        <f>E20</f>
        <v>Million Gallons</v>
      </c>
      <c r="F29" s="56" t="s">
        <v>141</v>
      </c>
      <c r="G29" s="996" t="str">
        <f>IF(G20="","",G20)</f>
        <v>Cooled Waste Water</v>
      </c>
      <c r="H29" s="45" t="s">
        <v>153</v>
      </c>
      <c r="I29" s="45"/>
      <c r="J29" s="729"/>
      <c r="K29" s="5"/>
    </row>
    <row r="30" spans="1:11" ht="18.5" customHeight="1" x14ac:dyDescent="0.2">
      <c r="A30" s="5"/>
      <c r="B30" s="84"/>
      <c r="C30" s="730"/>
      <c r="D30" s="735" t="s">
        <v>143</v>
      </c>
      <c r="E30" s="736" t="s">
        <v>144</v>
      </c>
      <c r="F30" s="736"/>
      <c r="G30" s="737" t="s">
        <v>145</v>
      </c>
      <c r="H30" s="45"/>
      <c r="I30" s="45"/>
      <c r="J30" s="729"/>
      <c r="K30" s="5"/>
    </row>
    <row r="31" spans="1:11" ht="18.5" customHeight="1" x14ac:dyDescent="0.2">
      <c r="A31" s="5"/>
      <c r="B31" s="84"/>
      <c r="C31" s="730"/>
      <c r="D31" s="731" t="s">
        <v>146</v>
      </c>
      <c r="E31" s="732" t="s">
        <v>154</v>
      </c>
      <c r="F31" s="732"/>
      <c r="G31" s="732"/>
      <c r="H31" s="738"/>
      <c r="I31" s="45"/>
      <c r="J31" s="729"/>
      <c r="K31" s="5"/>
    </row>
    <row r="32" spans="1:11" ht="18.5" customHeight="1" x14ac:dyDescent="0.2">
      <c r="A32" s="5"/>
      <c r="B32" s="84"/>
      <c r="C32" s="730"/>
      <c r="D32" s="731"/>
      <c r="E32" s="732" t="s">
        <v>155</v>
      </c>
      <c r="F32" s="732"/>
      <c r="G32" s="732"/>
      <c r="H32" s="738"/>
      <c r="I32" s="45"/>
      <c r="J32" s="729"/>
      <c r="K32" s="5"/>
    </row>
    <row r="33" spans="1:15" ht="18.5" customHeight="1" x14ac:dyDescent="0.2">
      <c r="A33" s="5"/>
      <c r="B33" s="84"/>
      <c r="C33" s="730"/>
      <c r="D33" s="732"/>
      <c r="E33" s="732" t="s">
        <v>156</v>
      </c>
      <c r="F33" s="732"/>
      <c r="G33" s="732"/>
      <c r="H33" s="738"/>
      <c r="I33" s="45"/>
      <c r="J33" s="729"/>
      <c r="K33" s="5"/>
    </row>
    <row r="34" spans="1:15" ht="18.5" customHeight="1" x14ac:dyDescent="0.2">
      <c r="A34" s="5"/>
      <c r="B34" s="84"/>
      <c r="C34" s="730"/>
      <c r="D34" s="732"/>
      <c r="E34" s="732" t="s">
        <v>157</v>
      </c>
      <c r="F34" s="732"/>
      <c r="G34" s="732"/>
      <c r="H34" s="738"/>
      <c r="I34" s="45"/>
      <c r="J34" s="729"/>
      <c r="K34" s="5"/>
      <c r="O34" s="779"/>
    </row>
    <row r="35" spans="1:15" ht="18.5" customHeight="1" x14ac:dyDescent="0.2">
      <c r="A35" s="5"/>
      <c r="B35" s="592"/>
      <c r="C35" s="1214" t="s">
        <v>158</v>
      </c>
      <c r="D35" s="1235"/>
      <c r="E35" s="1235"/>
      <c r="F35" s="1235"/>
      <c r="G35" s="1235"/>
      <c r="H35" s="1235"/>
      <c r="I35" s="592"/>
      <c r="J35" s="990"/>
      <c r="K35" s="5"/>
    </row>
    <row r="36" spans="1:15" ht="18.5" customHeight="1" x14ac:dyDescent="0.2">
      <c r="A36" s="5"/>
      <c r="B36" s="84"/>
      <c r="C36" s="1236" t="str">
        <f>IF(D20&lt;&gt;D29,"The default assumption is that there will not be a difference in performance equivalence, make sure the difference can be explained by writing out the logic in the blue box below.","Proceed to Step 2 for Functional Unit review.")</f>
        <v>Proceed to Step 2 for Functional Unit review.</v>
      </c>
      <c r="D36" s="1237"/>
      <c r="E36" s="1237"/>
      <c r="F36" s="1237"/>
      <c r="G36" s="1237"/>
      <c r="H36" s="1237"/>
      <c r="I36" s="84"/>
      <c r="J36" s="12"/>
      <c r="K36" s="5"/>
    </row>
    <row r="37" spans="1:15" ht="18.5" customHeight="1" x14ac:dyDescent="0.2">
      <c r="A37" s="5"/>
      <c r="B37" s="88"/>
      <c r="C37" s="1238"/>
      <c r="D37" s="1239"/>
      <c r="E37" s="1239"/>
      <c r="F37" s="1239"/>
      <c r="G37" s="1239"/>
      <c r="H37" s="1239"/>
      <c r="I37" s="88"/>
      <c r="J37" s="90"/>
      <c r="K37" s="5"/>
    </row>
    <row r="38" spans="1:15" ht="18.5" customHeight="1" x14ac:dyDescent="0.2">
      <c r="A38" s="5"/>
      <c r="B38" s="1240"/>
      <c r="C38" s="1241"/>
      <c r="D38" s="1241"/>
      <c r="E38" s="1241"/>
      <c r="F38" s="1241"/>
      <c r="G38" s="1241"/>
      <c r="H38" s="1241"/>
      <c r="I38" s="1241"/>
      <c r="J38" s="1242"/>
      <c r="K38" s="5"/>
    </row>
    <row r="39" spans="1:15" ht="18.5" customHeight="1" x14ac:dyDescent="0.2">
      <c r="A39" s="5"/>
      <c r="B39" s="1243"/>
      <c r="C39" s="1244"/>
      <c r="D39" s="1244"/>
      <c r="E39" s="1244"/>
      <c r="F39" s="1244"/>
      <c r="G39" s="1244"/>
      <c r="H39" s="1244"/>
      <c r="I39" s="1244"/>
      <c r="J39" s="1245"/>
      <c r="K39" s="5"/>
    </row>
    <row r="40" spans="1:15" ht="18.5" customHeight="1" x14ac:dyDescent="0.2">
      <c r="A40" s="5"/>
      <c r="B40" s="991"/>
      <c r="C40" s="992"/>
      <c r="D40" s="992"/>
      <c r="E40" s="992"/>
      <c r="F40" s="992"/>
      <c r="G40" s="992"/>
      <c r="H40" s="992"/>
      <c r="I40" s="992"/>
      <c r="J40" s="993"/>
      <c r="K40" s="5"/>
    </row>
    <row r="41" spans="1:15" ht="18.5" customHeight="1" x14ac:dyDescent="0.2">
      <c r="A41" s="5"/>
      <c r="B41" s="1224" t="s">
        <v>159</v>
      </c>
      <c r="C41" s="1225"/>
      <c r="D41" s="1225"/>
      <c r="E41" s="1225"/>
      <c r="F41" s="1225"/>
      <c r="G41" s="1225"/>
      <c r="H41" s="1225"/>
      <c r="I41" s="1225"/>
      <c r="J41" s="993"/>
      <c r="K41" s="5"/>
    </row>
    <row r="42" spans="1:15" ht="18.5" customHeight="1" x14ac:dyDescent="0.2">
      <c r="A42" s="5"/>
      <c r="B42" s="1226"/>
      <c r="C42" s="1227"/>
      <c r="D42" s="1227"/>
      <c r="E42" s="1227"/>
      <c r="F42" s="1227"/>
      <c r="G42" s="1227"/>
      <c r="H42" s="1227"/>
      <c r="I42" s="1227"/>
      <c r="J42" s="994"/>
      <c r="K42" s="5"/>
    </row>
    <row r="43" spans="1:15" ht="15.75" customHeight="1" x14ac:dyDescent="0.2">
      <c r="A43" s="5"/>
      <c r="B43" s="603"/>
      <c r="C43" s="597"/>
      <c r="D43" s="597"/>
      <c r="E43" s="597"/>
      <c r="F43" s="597"/>
      <c r="G43" s="597"/>
      <c r="H43" s="597"/>
      <c r="I43" s="597"/>
      <c r="J43" s="6"/>
      <c r="K43" s="5"/>
    </row>
    <row r="44" spans="1:15" ht="15.75" customHeight="1" x14ac:dyDescent="0.2">
      <c r="A44" s="5"/>
      <c r="B44" s="603"/>
      <c r="C44" s="1220" t="s">
        <v>160</v>
      </c>
      <c r="D44" s="1220"/>
      <c r="E44" s="1220"/>
      <c r="F44" s="1220"/>
      <c r="G44" s="1220"/>
      <c r="H44" s="1220"/>
      <c r="I44" s="597"/>
      <c r="J44" s="6"/>
      <c r="K44" s="5"/>
    </row>
    <row r="45" spans="1:15" ht="15.75" customHeight="1" x14ac:dyDescent="0.2">
      <c r="A45" s="5"/>
      <c r="B45" s="603"/>
      <c r="C45" s="1221" t="str">
        <f>IF(ISBLANK(H12),"",H12)</f>
        <v/>
      </c>
      <c r="D45" s="1222"/>
      <c r="E45" s="1222"/>
      <c r="F45" s="1222"/>
      <c r="G45" s="1222"/>
      <c r="H45" s="1223"/>
      <c r="I45" s="597"/>
      <c r="J45" s="6"/>
      <c r="K45" s="5"/>
    </row>
    <row r="46" spans="1:15" ht="15.75" customHeight="1" x14ac:dyDescent="0.2">
      <c r="A46" s="5"/>
      <c r="B46" s="43"/>
      <c r="C46" s="21"/>
      <c r="D46" s="21"/>
      <c r="E46" s="21"/>
      <c r="F46" s="21"/>
      <c r="G46" s="44"/>
      <c r="H46" s="41"/>
      <c r="I46" s="18"/>
      <c r="J46" s="6"/>
      <c r="K46" s="5"/>
    </row>
    <row r="47" spans="1:15" ht="15.75" customHeight="1" x14ac:dyDescent="0.2">
      <c r="A47" s="5"/>
      <c r="B47" s="43"/>
      <c r="C47" s="1221" t="s">
        <v>161</v>
      </c>
      <c r="D47" s="1223"/>
      <c r="E47" s="56"/>
      <c r="F47" s="56"/>
      <c r="G47" s="1221" t="s">
        <v>162</v>
      </c>
      <c r="H47" s="1223"/>
      <c r="I47" s="18"/>
      <c r="J47" s="6"/>
      <c r="K47" s="5"/>
    </row>
    <row r="48" spans="1:15" ht="27.75" customHeight="1" x14ac:dyDescent="0.2">
      <c r="A48" s="5"/>
      <c r="B48" s="43" t="s">
        <v>163</v>
      </c>
      <c r="C48" s="1210" t="str">
        <f>New_Technology</f>
        <v>Waste Heat Recovery (Heat Pump)</v>
      </c>
      <c r="D48" s="1211"/>
      <c r="E48" s="70"/>
      <c r="F48" s="70"/>
      <c r="G48" s="1210" t="str">
        <f>Commercial_Benchmark</f>
        <v>Evaporative Condenser</v>
      </c>
      <c r="H48" s="1211"/>
      <c r="I48" s="18"/>
      <c r="J48" s="6"/>
      <c r="K48" s="5"/>
    </row>
    <row r="49" spans="1:11" ht="27.75" customHeight="1" x14ac:dyDescent="0.2">
      <c r="A49" s="5"/>
      <c r="B49" s="43" t="s">
        <v>164</v>
      </c>
      <c r="C49" s="1248" t="str">
        <f>G20</f>
        <v>Cooled Waste Water</v>
      </c>
      <c r="D49" s="1211"/>
      <c r="E49" s="70"/>
      <c r="F49" s="70"/>
      <c r="G49" s="1248" t="str">
        <f>G29</f>
        <v>Cooled Waste Water</v>
      </c>
      <c r="H49" s="1211"/>
      <c r="I49" s="18"/>
      <c r="J49" s="6"/>
      <c r="K49" s="5"/>
    </row>
    <row r="50" spans="1:11" s="50" customFormat="1" ht="14" x14ac:dyDescent="0.2">
      <c r="A50" s="37"/>
      <c r="B50" s="740" t="s">
        <v>165</v>
      </c>
      <c r="C50" s="741">
        <f>D20</f>
        <v>2</v>
      </c>
      <c r="D50" s="61" t="str">
        <f>E20</f>
        <v>Million Gallons</v>
      </c>
      <c r="E50" s="71"/>
      <c r="F50" s="71"/>
      <c r="G50" s="741">
        <f>D29</f>
        <v>2</v>
      </c>
      <c r="H50" s="61" t="str">
        <f>E29</f>
        <v>Million Gallons</v>
      </c>
      <c r="J50" s="51"/>
      <c r="K50" s="37"/>
    </row>
    <row r="51" spans="1:11" ht="15.75" customHeight="1" x14ac:dyDescent="0.2">
      <c r="A51" s="5"/>
      <c r="B51" s="55"/>
      <c r="C51" s="37" t="s">
        <v>166</v>
      </c>
      <c r="D51" s="21" t="s">
        <v>167</v>
      </c>
      <c r="E51" s="21"/>
      <c r="F51" s="21"/>
      <c r="G51" s="37" t="s">
        <v>168</v>
      </c>
      <c r="H51" s="21" t="s">
        <v>167</v>
      </c>
      <c r="I51" s="18"/>
      <c r="J51" s="6"/>
      <c r="K51" s="5"/>
    </row>
    <row r="52" spans="1:11" ht="15.75" customHeight="1" x14ac:dyDescent="0.2">
      <c r="A52" s="5"/>
      <c r="B52" s="55"/>
      <c r="C52" s="21"/>
      <c r="D52" s="21"/>
      <c r="E52" s="21"/>
      <c r="F52" s="21"/>
      <c r="G52" s="44"/>
      <c r="H52" s="44"/>
      <c r="I52" s="18"/>
      <c r="J52" s="6"/>
      <c r="K52" s="5"/>
    </row>
    <row r="53" spans="1:11" ht="15.75" customHeight="1" x14ac:dyDescent="0.2">
      <c r="A53" s="5"/>
      <c r="B53" s="1249" t="s">
        <v>169</v>
      </c>
      <c r="C53" s="1250"/>
      <c r="D53" s="1250"/>
      <c r="E53" s="1250"/>
      <c r="F53" s="1250"/>
      <c r="G53" s="1250"/>
      <c r="H53" s="1250"/>
      <c r="I53" s="1250"/>
      <c r="J53" s="1251"/>
      <c r="K53" s="5"/>
    </row>
    <row r="54" spans="1:11" ht="15.75" customHeight="1" x14ac:dyDescent="0.2">
      <c r="A54" s="5"/>
      <c r="B54" s="117"/>
      <c r="C54" s="602"/>
      <c r="D54" s="36"/>
      <c r="E54" s="36"/>
      <c r="F54" s="36"/>
      <c r="G54" s="36"/>
      <c r="H54" s="36"/>
      <c r="I54" s="36"/>
      <c r="J54" s="118"/>
      <c r="K54" s="5"/>
    </row>
    <row r="55" spans="1:11" ht="18" x14ac:dyDescent="0.2">
      <c r="A55" s="5"/>
      <c r="B55" s="1163" t="s">
        <v>122</v>
      </c>
      <c r="C55" s="1165"/>
      <c r="D55" s="1165"/>
      <c r="E55" s="1165"/>
      <c r="F55" s="1165"/>
      <c r="G55" s="1165"/>
      <c r="H55" s="1165"/>
      <c r="I55" s="1165"/>
      <c r="J55" s="34"/>
      <c r="K55" s="5"/>
    </row>
    <row r="56" spans="1:11" ht="15.75" customHeight="1" x14ac:dyDescent="0.2">
      <c r="A56" s="5"/>
      <c r="B56" s="603"/>
      <c r="C56" s="39"/>
      <c r="D56" s="39"/>
      <c r="E56" s="39"/>
      <c r="F56" s="39"/>
      <c r="G56" s="39"/>
      <c r="H56" s="39"/>
      <c r="I56" s="39"/>
      <c r="J56" s="1"/>
      <c r="K56" s="5"/>
    </row>
    <row r="57" spans="1:11" ht="15.75" customHeight="1" x14ac:dyDescent="0.2">
      <c r="A57" s="5"/>
      <c r="B57" s="1145" t="s">
        <v>123</v>
      </c>
      <c r="C57" s="1207"/>
      <c r="D57" s="1208"/>
      <c r="E57" s="1208"/>
      <c r="F57" s="1208"/>
      <c r="G57" s="1208"/>
      <c r="H57" s="1208"/>
      <c r="I57" s="1209"/>
      <c r="J57" s="33"/>
      <c r="K57" s="5"/>
    </row>
    <row r="58" spans="1:11" x14ac:dyDescent="0.2">
      <c r="A58" s="5"/>
      <c r="B58" s="1145"/>
      <c r="C58" s="1207"/>
      <c r="D58" s="1208"/>
      <c r="E58" s="1208"/>
      <c r="F58" s="1208"/>
      <c r="G58" s="1208"/>
      <c r="H58" s="1208"/>
      <c r="I58" s="1209"/>
      <c r="J58" s="666"/>
      <c r="K58" s="5"/>
    </row>
    <row r="59" spans="1:11" x14ac:dyDescent="0.2">
      <c r="A59" s="5"/>
      <c r="B59" s="1145"/>
      <c r="C59" s="1207"/>
      <c r="D59" s="1208"/>
      <c r="E59" s="1208"/>
      <c r="F59" s="1208"/>
      <c r="G59" s="1208"/>
      <c r="H59" s="1208"/>
      <c r="I59" s="1209"/>
      <c r="J59" s="666"/>
      <c r="K59" s="5"/>
    </row>
    <row r="60" spans="1:11" x14ac:dyDescent="0.2">
      <c r="A60" s="5"/>
      <c r="B60" s="1145"/>
      <c r="C60" s="1207"/>
      <c r="D60" s="1208"/>
      <c r="E60" s="1208"/>
      <c r="F60" s="1208"/>
      <c r="G60" s="1208"/>
      <c r="H60" s="1208"/>
      <c r="I60" s="1209"/>
      <c r="J60" s="666"/>
      <c r="K60" s="5"/>
    </row>
    <row r="61" spans="1:11" x14ac:dyDescent="0.2">
      <c r="A61" s="5"/>
      <c r="B61" s="1145"/>
      <c r="C61" s="1207"/>
      <c r="D61" s="1208"/>
      <c r="E61" s="1208"/>
      <c r="F61" s="1208"/>
      <c r="G61" s="1208"/>
      <c r="H61" s="1208"/>
      <c r="I61" s="1209"/>
      <c r="J61" s="666"/>
      <c r="K61" s="5"/>
    </row>
    <row r="62" spans="1:11" x14ac:dyDescent="0.2">
      <c r="A62" s="5"/>
      <c r="B62" s="2"/>
      <c r="C62" s="3"/>
      <c r="D62" s="3"/>
      <c r="E62" s="3"/>
      <c r="F62" s="3"/>
      <c r="G62" s="3"/>
      <c r="H62" s="3"/>
      <c r="I62" s="3"/>
      <c r="J62" s="4"/>
      <c r="K62" s="5"/>
    </row>
    <row r="63" spans="1:11" ht="18" x14ac:dyDescent="0.2">
      <c r="B63" s="1163" t="s">
        <v>170</v>
      </c>
      <c r="C63" s="1165"/>
      <c r="D63" s="1165"/>
      <c r="E63" s="1165"/>
      <c r="F63" s="1165"/>
      <c r="G63" s="1165"/>
      <c r="H63" s="1165"/>
      <c r="I63" s="1165"/>
      <c r="J63" s="34"/>
    </row>
    <row r="64" spans="1:11" ht="15.75" customHeight="1" x14ac:dyDescent="0.2">
      <c r="B64" s="7" t="s">
        <v>171</v>
      </c>
      <c r="C64" s="597"/>
      <c r="D64" s="597"/>
      <c r="E64" s="597"/>
      <c r="F64" s="597"/>
      <c r="G64" s="597"/>
      <c r="H64" s="597"/>
      <c r="I64" s="597"/>
      <c r="J64" s="1"/>
    </row>
    <row r="65" spans="2:10" ht="15.75" customHeight="1" x14ac:dyDescent="0.2">
      <c r="B65" s="7"/>
      <c r="C65" s="18"/>
      <c r="D65" s="18"/>
      <c r="E65" s="18"/>
      <c r="F65" s="18"/>
      <c r="G65" s="18"/>
      <c r="H65" s="18"/>
      <c r="I65" s="18"/>
      <c r="J65" s="26"/>
    </row>
    <row r="66" spans="2:10" ht="15.75" customHeight="1" x14ac:dyDescent="0.2">
      <c r="B66" s="7"/>
      <c r="C66" s="18"/>
      <c r="D66" s="18"/>
      <c r="E66" s="18"/>
      <c r="F66" s="18"/>
      <c r="G66" s="18"/>
      <c r="H66" s="18"/>
      <c r="I66" s="18"/>
      <c r="J66" s="26"/>
    </row>
    <row r="67" spans="2:10" ht="15.75" customHeight="1" x14ac:dyDescent="0.2">
      <c r="B67" s="7"/>
      <c r="C67" s="18"/>
      <c r="D67" s="18"/>
      <c r="E67" s="18"/>
      <c r="F67" s="18"/>
      <c r="G67" s="18"/>
      <c r="H67" s="18"/>
      <c r="I67" s="18"/>
      <c r="J67" s="26"/>
    </row>
    <row r="68" spans="2:10" ht="15.75" customHeight="1" x14ac:dyDescent="0.2">
      <c r="B68" s="7"/>
      <c r="C68" s="18"/>
      <c r="D68" s="18"/>
      <c r="E68" s="18"/>
      <c r="F68" s="18"/>
      <c r="G68" s="18"/>
      <c r="H68" s="18"/>
      <c r="I68" s="18"/>
      <c r="J68" s="26"/>
    </row>
    <row r="69" spans="2:10" ht="15.75" customHeight="1" x14ac:dyDescent="0.2">
      <c r="B69" s="7"/>
      <c r="C69" s="18"/>
      <c r="D69" s="18"/>
      <c r="E69" s="18"/>
      <c r="F69" s="18"/>
      <c r="G69" s="18"/>
      <c r="H69" s="18"/>
      <c r="I69" s="18"/>
      <c r="J69" s="26"/>
    </row>
    <row r="70" spans="2:10" ht="15.75" customHeight="1" x14ac:dyDescent="0.2">
      <c r="B70" s="7"/>
      <c r="C70" s="18"/>
      <c r="D70" s="18"/>
      <c r="E70" s="18"/>
      <c r="F70" s="18"/>
      <c r="G70" s="18"/>
      <c r="H70" s="18"/>
      <c r="I70" s="18"/>
      <c r="J70" s="26"/>
    </row>
    <row r="71" spans="2:10" ht="15.75" customHeight="1" x14ac:dyDescent="0.2">
      <c r="B71" s="7"/>
      <c r="C71" s="18"/>
      <c r="D71" s="18"/>
      <c r="E71" s="18"/>
      <c r="F71" s="18"/>
      <c r="G71" s="18"/>
      <c r="H71" s="18"/>
      <c r="I71" s="18"/>
      <c r="J71" s="26"/>
    </row>
    <row r="72" spans="2:10" ht="15.75" customHeight="1" x14ac:dyDescent="0.2">
      <c r="B72" s="7"/>
      <c r="C72" s="18"/>
      <c r="D72" s="18"/>
      <c r="E72" s="18"/>
      <c r="F72" s="18"/>
      <c r="G72" s="18"/>
      <c r="H72" s="18"/>
      <c r="I72" s="18"/>
      <c r="J72" s="26"/>
    </row>
    <row r="73" spans="2:10" x14ac:dyDescent="0.2">
      <c r="B73" s="38"/>
      <c r="C73" s="21"/>
      <c r="D73" s="21"/>
      <c r="E73" s="21"/>
      <c r="F73" s="21"/>
      <c r="G73" s="21"/>
      <c r="H73" s="21"/>
      <c r="I73" s="21"/>
      <c r="J73" s="26"/>
    </row>
    <row r="74" spans="2:10" x14ac:dyDescent="0.2">
      <c r="B74" s="1206" t="s">
        <v>124</v>
      </c>
      <c r="C74" s="1169"/>
      <c r="D74" s="1169"/>
      <c r="E74" s="1169"/>
      <c r="F74" s="1169"/>
      <c r="G74" s="1169"/>
      <c r="H74" s="1169"/>
      <c r="I74" s="1169"/>
      <c r="J74" s="1170"/>
    </row>
  </sheetData>
  <mergeCells count="39">
    <mergeCell ref="G16:J16"/>
    <mergeCell ref="B74:J74"/>
    <mergeCell ref="C35:H35"/>
    <mergeCell ref="C36:H37"/>
    <mergeCell ref="B38:J39"/>
    <mergeCell ref="B18:I18"/>
    <mergeCell ref="B63:I63"/>
    <mergeCell ref="C49:D49"/>
    <mergeCell ref="G49:H49"/>
    <mergeCell ref="B53:J53"/>
    <mergeCell ref="B55:I55"/>
    <mergeCell ref="B57:B61"/>
    <mergeCell ref="C57:I57"/>
    <mergeCell ref="C58:I58"/>
    <mergeCell ref="C59:I59"/>
    <mergeCell ref="C60:I60"/>
    <mergeCell ref="C61:I61"/>
    <mergeCell ref="C48:D48"/>
    <mergeCell ref="G48:H48"/>
    <mergeCell ref="B8:I8"/>
    <mergeCell ref="B11:I11"/>
    <mergeCell ref="B17:I17"/>
    <mergeCell ref="B27:I27"/>
    <mergeCell ref="C44:H44"/>
    <mergeCell ref="C45:H45"/>
    <mergeCell ref="C47:D47"/>
    <mergeCell ref="G47:H47"/>
    <mergeCell ref="B41:I42"/>
    <mergeCell ref="B13:E16"/>
    <mergeCell ref="G12:J12"/>
    <mergeCell ref="G13:J13"/>
    <mergeCell ref="G14:J14"/>
    <mergeCell ref="G15:J15"/>
    <mergeCell ref="B6:I6"/>
    <mergeCell ref="B1:I1"/>
    <mergeCell ref="B2:I2"/>
    <mergeCell ref="B3:I3"/>
    <mergeCell ref="B5:J5"/>
    <mergeCell ref="C4:G4"/>
  </mergeCells>
  <conditionalFormatting sqref="B38:J39">
    <cfRule type="expression" dxfId="2" priority="1">
      <formula>$D$20&lt;&gt;$D$29</formula>
    </cfRule>
  </conditionalFormatting>
  <hyperlinks>
    <hyperlink ref="B6" r:id="rId1" xr:uid="{B7CC5552-B471-4088-AAB6-5B908D4E4066}"/>
    <hyperlink ref="C4:E4" location="FullDataLanding" display="Return to Planning Page" xr:uid="{3EFA77A6-CF3B-4DA6-9437-D014C1A5D2EB}"/>
    <hyperlink ref="B74:D74" location="FullDataLanding" display="Return to Planning Page" xr:uid="{95F418A7-F01F-4787-8505-25C2E198F59D}"/>
    <hyperlink ref="B74:J74" location="FullDataLanding" display="Return to Home Page" xr:uid="{53BAC43C-43BA-42A1-A87C-4880D5360F6B}"/>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7D888-0DFA-48FF-94CA-BE796225AE08}">
  <sheetPr codeName="Sheet1">
    <tabColor rgb="FF00B050"/>
    <pageSetUpPr fitToPage="1"/>
  </sheetPr>
  <dimension ref="A1:V107"/>
  <sheetViews>
    <sheetView showGridLines="0" topLeftCell="A52" zoomScaleNormal="100" workbookViewId="0">
      <selection activeCell="M18" sqref="M18"/>
    </sheetView>
  </sheetViews>
  <sheetFormatPr baseColWidth="10" defaultColWidth="8.83203125" defaultRowHeight="15" x14ac:dyDescent="0.2"/>
  <cols>
    <col min="1" max="1" width="2.6640625" customWidth="1"/>
    <col min="2" max="2" width="24.6640625" customWidth="1"/>
    <col min="3" max="3" width="13.6640625" customWidth="1"/>
    <col min="4" max="4" width="10.33203125" customWidth="1"/>
    <col min="5" max="6" width="16.33203125" customWidth="1"/>
    <col min="7" max="7" width="14.5" customWidth="1"/>
    <col min="8" max="8" width="15.6640625" customWidth="1"/>
    <col min="9" max="9" width="19.5" customWidth="1"/>
    <col min="10" max="10" width="14.33203125" customWidth="1"/>
    <col min="11" max="11" width="4" customWidth="1"/>
    <col min="12" max="12" width="24.6640625" customWidth="1"/>
    <col min="13" max="13" width="17" customWidth="1"/>
    <col min="14" max="14" width="9.5" customWidth="1"/>
    <col min="15" max="16" width="15.6640625" customWidth="1"/>
    <col min="17" max="17" width="14.33203125" customWidth="1"/>
    <col min="18" max="18" width="15.6640625" customWidth="1"/>
    <col min="19" max="19" width="20.6640625" customWidth="1"/>
    <col min="20" max="20" width="14.33203125" customWidth="1"/>
    <col min="21" max="21" width="2.6640625" customWidth="1"/>
    <col min="22" max="22" width="3" customWidth="1"/>
  </cols>
  <sheetData>
    <row r="1" spans="1:22" ht="15.75" customHeight="1" x14ac:dyDescent="0.2">
      <c r="A1" s="5"/>
      <c r="B1" s="1159" t="s">
        <v>0</v>
      </c>
      <c r="C1" s="1160"/>
      <c r="D1" s="1160"/>
      <c r="E1" s="1160"/>
      <c r="F1" s="1160"/>
      <c r="G1" s="1160"/>
      <c r="H1" s="1160"/>
      <c r="I1" s="1160"/>
      <c r="J1" s="1160"/>
      <c r="K1" s="1160"/>
      <c r="L1" s="1160"/>
      <c r="M1" s="1160"/>
      <c r="N1" s="1160"/>
      <c r="O1" s="1160"/>
      <c r="P1" s="1160"/>
      <c r="Q1" s="1160"/>
      <c r="R1" s="1160"/>
      <c r="S1" s="1160"/>
      <c r="T1" s="1160"/>
      <c r="U1" s="665"/>
      <c r="V1" s="5"/>
    </row>
    <row r="2" spans="1:22" ht="21" customHeight="1" x14ac:dyDescent="0.2">
      <c r="A2" s="5"/>
      <c r="B2" s="1197" t="s">
        <v>1</v>
      </c>
      <c r="C2" s="1198"/>
      <c r="D2" s="1198"/>
      <c r="E2" s="1198"/>
      <c r="F2" s="1198"/>
      <c r="G2" s="1198"/>
      <c r="H2" s="1198"/>
      <c r="I2" s="1198"/>
      <c r="J2" s="1198"/>
      <c r="K2" s="1198"/>
      <c r="L2" s="1198"/>
      <c r="M2" s="1198"/>
      <c r="N2" s="1198"/>
      <c r="O2" s="1198"/>
      <c r="P2" s="1198"/>
      <c r="Q2" s="1198"/>
      <c r="R2" s="1198"/>
      <c r="S2" s="1198"/>
      <c r="T2" s="1198"/>
      <c r="U2" s="1016"/>
      <c r="V2" s="5"/>
    </row>
    <row r="3" spans="1:22" ht="15.5" customHeight="1" x14ac:dyDescent="0.2">
      <c r="A3" s="5"/>
      <c r="B3" s="1252"/>
      <c r="C3" s="1253"/>
      <c r="D3" s="1254"/>
      <c r="E3" s="1259" t="s">
        <v>126</v>
      </c>
      <c r="F3" s="1260"/>
      <c r="G3" s="1260"/>
      <c r="H3" s="1261"/>
      <c r="I3" s="1252"/>
      <c r="J3" s="1253"/>
      <c r="K3" s="1253"/>
      <c r="L3" s="1253"/>
      <c r="M3" s="1253"/>
      <c r="N3" s="1253"/>
      <c r="O3" s="1253"/>
      <c r="P3" s="1253"/>
      <c r="Q3" s="1253"/>
      <c r="R3" s="1253"/>
      <c r="S3" s="1253"/>
      <c r="T3" s="1253"/>
      <c r="U3" s="1254"/>
      <c r="V3" s="5"/>
    </row>
    <row r="4" spans="1:22" ht="18" x14ac:dyDescent="0.2">
      <c r="A4" s="5"/>
      <c r="B4" s="1163" t="s">
        <v>172</v>
      </c>
      <c r="C4" s="1165"/>
      <c r="D4" s="1165"/>
      <c r="E4" s="1164"/>
      <c r="F4" s="1164"/>
      <c r="G4" s="1164"/>
      <c r="H4" s="1164"/>
      <c r="I4" s="1165"/>
      <c r="J4" s="1165"/>
      <c r="K4" s="1165"/>
      <c r="L4" s="1165"/>
      <c r="M4" s="1165"/>
      <c r="N4" s="1165"/>
      <c r="O4" s="1165"/>
      <c r="P4" s="1165"/>
      <c r="Q4" s="1165"/>
      <c r="R4" s="1165"/>
      <c r="S4" s="1165"/>
      <c r="T4" s="1165"/>
      <c r="U4" s="648"/>
      <c r="V4" s="5"/>
    </row>
    <row r="5" spans="1:22" ht="15.75" customHeight="1" x14ac:dyDescent="0.2">
      <c r="A5" s="5"/>
      <c r="B5" s="603"/>
      <c r="C5" s="597"/>
      <c r="D5" s="597"/>
      <c r="E5" s="597"/>
      <c r="F5" s="597"/>
      <c r="G5" s="597"/>
      <c r="H5" s="597"/>
      <c r="I5" s="597"/>
      <c r="J5" s="597"/>
      <c r="K5" s="597"/>
      <c r="L5" s="597"/>
      <c r="M5" s="597"/>
      <c r="N5" s="597"/>
      <c r="O5" s="597"/>
      <c r="P5" s="597"/>
      <c r="Q5" s="597"/>
      <c r="R5" s="597"/>
      <c r="S5" s="597"/>
      <c r="T5" s="597"/>
      <c r="U5" s="6"/>
      <c r="V5" s="5"/>
    </row>
    <row r="6" spans="1:22" ht="47.25" customHeight="1" x14ac:dyDescent="0.2">
      <c r="A6" s="5"/>
      <c r="B6" s="1188" t="s">
        <v>173</v>
      </c>
      <c r="C6" s="1189"/>
      <c r="D6" s="1189"/>
      <c r="E6" s="1189"/>
      <c r="F6" s="1189"/>
      <c r="G6" s="1189"/>
      <c r="H6" s="1189"/>
      <c r="I6" s="1189"/>
      <c r="J6" s="1189"/>
      <c r="K6" s="1189"/>
      <c r="L6" s="1189"/>
      <c r="M6" s="1189"/>
      <c r="N6" s="1189"/>
      <c r="O6" s="1189"/>
      <c r="P6" s="647"/>
      <c r="Q6" s="24"/>
      <c r="R6" s="24"/>
      <c r="S6" s="24"/>
      <c r="T6" s="24"/>
      <c r="U6" s="6"/>
      <c r="V6" s="5"/>
    </row>
    <row r="7" spans="1:22" ht="15.75" customHeight="1" x14ac:dyDescent="0.2">
      <c r="A7" s="5"/>
      <c r="B7" s="43"/>
      <c r="C7" s="1262" t="s">
        <v>174</v>
      </c>
      <c r="D7" s="1263"/>
      <c r="E7" s="1263"/>
      <c r="F7" s="1263"/>
      <c r="G7" s="1263"/>
      <c r="H7" s="1263"/>
      <c r="I7" s="1263"/>
      <c r="J7" s="1264"/>
      <c r="K7" s="56"/>
      <c r="L7" s="77"/>
      <c r="M7" s="1262" t="s">
        <v>162</v>
      </c>
      <c r="N7" s="1263"/>
      <c r="O7" s="1263"/>
      <c r="P7" s="1263"/>
      <c r="Q7" s="1263"/>
      <c r="R7" s="1263"/>
      <c r="S7" s="1263"/>
      <c r="T7" s="1264"/>
      <c r="U7" s="6"/>
      <c r="V7" s="5"/>
    </row>
    <row r="8" spans="1:22" ht="15.75" customHeight="1" x14ac:dyDescent="0.2">
      <c r="A8" s="5"/>
      <c r="B8" s="43" t="s">
        <v>163</v>
      </c>
      <c r="C8" s="1265" t="str">
        <f>New_Technology</f>
        <v>Waste Heat Recovery (Heat Pump)</v>
      </c>
      <c r="D8" s="1266"/>
      <c r="E8" s="1266"/>
      <c r="F8" s="1266"/>
      <c r="G8" s="1266"/>
      <c r="H8" s="1266"/>
      <c r="I8" s="1266"/>
      <c r="J8" s="1267"/>
      <c r="K8" s="70"/>
      <c r="L8" s="77" t="s">
        <v>163</v>
      </c>
      <c r="M8" s="1265" t="str">
        <f>Commercial_Benchmark</f>
        <v>Evaporative Condenser</v>
      </c>
      <c r="N8" s="1266"/>
      <c r="O8" s="1266"/>
      <c r="P8" s="1266"/>
      <c r="Q8" s="1266"/>
      <c r="R8" s="1266"/>
      <c r="S8" s="1266"/>
      <c r="T8" s="1267"/>
      <c r="U8" s="6"/>
      <c r="V8" s="5"/>
    </row>
    <row r="9" spans="1:22" ht="15.75" customHeight="1" x14ac:dyDescent="0.2">
      <c r="A9" s="5"/>
      <c r="B9" s="43" t="s">
        <v>164</v>
      </c>
      <c r="C9" s="1265" t="str">
        <f>New_Technology_Apps</f>
        <v>Cooled Waste Water</v>
      </c>
      <c r="D9" s="1266"/>
      <c r="E9" s="1266"/>
      <c r="F9" s="1266"/>
      <c r="G9" s="1266"/>
      <c r="H9" s="1266"/>
      <c r="I9" s="1266"/>
      <c r="J9" s="1267"/>
      <c r="K9" s="70"/>
      <c r="L9" s="77" t="s">
        <v>164</v>
      </c>
      <c r="M9" s="1265" t="str">
        <f>Benchmark_Apps</f>
        <v>Cooled Waste Water</v>
      </c>
      <c r="N9" s="1266"/>
      <c r="O9" s="1266"/>
      <c r="P9" s="1266"/>
      <c r="Q9" s="1266"/>
      <c r="R9" s="1266"/>
      <c r="S9" s="1266"/>
      <c r="T9" s="1267"/>
      <c r="U9" s="6"/>
      <c r="V9" s="5"/>
    </row>
    <row r="10" spans="1:22" ht="25.5" customHeight="1" x14ac:dyDescent="0.2">
      <c r="A10" s="5"/>
      <c r="B10" s="43" t="s">
        <v>175</v>
      </c>
      <c r="C10" s="744">
        <f>Ref_Volume</f>
        <v>2</v>
      </c>
      <c r="D10" s="1019" t="str">
        <f>Ref_Volume_Unit</f>
        <v>Million Gallons</v>
      </c>
      <c r="E10" s="651"/>
      <c r="F10" s="651"/>
      <c r="G10" s="651"/>
      <c r="H10" s="651"/>
      <c r="I10" s="651"/>
      <c r="J10" s="652"/>
      <c r="K10" s="653"/>
      <c r="L10" s="77" t="s">
        <v>175</v>
      </c>
      <c r="M10" s="745">
        <f>Ref_Volume_Benchmark</f>
        <v>2</v>
      </c>
      <c r="N10" s="1019" t="str">
        <f>Ref_Volume_Unit</f>
        <v>Million Gallons</v>
      </c>
      <c r="O10" s="651"/>
      <c r="P10" s="651"/>
      <c r="Q10" s="651"/>
      <c r="R10" s="651"/>
      <c r="S10" s="651"/>
      <c r="T10" s="651"/>
      <c r="U10" s="6"/>
      <c r="V10" s="5"/>
    </row>
    <row r="11" spans="1:22" ht="15.75" customHeight="1" x14ac:dyDescent="0.2">
      <c r="A11" s="5"/>
      <c r="B11" s="55"/>
      <c r="C11" s="22" t="s">
        <v>176</v>
      </c>
      <c r="D11" s="22" t="s">
        <v>167</v>
      </c>
      <c r="E11" s="45"/>
      <c r="F11" s="45"/>
      <c r="G11" s="21"/>
      <c r="H11" s="21"/>
      <c r="I11" s="21"/>
      <c r="J11" s="21"/>
      <c r="K11" s="21"/>
      <c r="L11" s="45"/>
      <c r="M11" s="22" t="s">
        <v>176</v>
      </c>
      <c r="N11" s="22" t="s">
        <v>167</v>
      </c>
      <c r="O11" s="21"/>
      <c r="P11" s="21"/>
      <c r="Q11" s="21"/>
      <c r="R11" s="21"/>
      <c r="S11" s="21"/>
      <c r="T11" s="21"/>
      <c r="U11" s="6"/>
      <c r="V11" s="5"/>
    </row>
    <row r="12" spans="1:22" ht="15.75" customHeight="1" x14ac:dyDescent="0.2">
      <c r="A12" s="5"/>
      <c r="B12" s="55"/>
      <c r="C12" s="21"/>
      <c r="D12" s="21"/>
      <c r="E12" s="45"/>
      <c r="F12" s="45"/>
      <c r="G12" s="21"/>
      <c r="H12" s="21"/>
      <c r="I12" s="21"/>
      <c r="J12" s="21"/>
      <c r="K12" s="21"/>
      <c r="L12" s="45"/>
      <c r="M12" s="21"/>
      <c r="N12" s="21"/>
      <c r="O12" s="21"/>
      <c r="P12" s="21"/>
      <c r="Q12" s="21"/>
      <c r="R12" s="21"/>
      <c r="S12" s="21"/>
      <c r="T12" s="21"/>
      <c r="U12" s="6"/>
      <c r="V12" s="5"/>
    </row>
    <row r="13" spans="1:22" ht="35.25" customHeight="1" x14ac:dyDescent="0.2">
      <c r="A13" s="5"/>
      <c r="B13" s="1188" t="s">
        <v>177</v>
      </c>
      <c r="C13" s="1189"/>
      <c r="D13" s="1189"/>
      <c r="E13" s="1189"/>
      <c r="F13" s="1189"/>
      <c r="G13" s="1189"/>
      <c r="H13" s="1189"/>
      <c r="I13" s="1189"/>
      <c r="J13" s="1189"/>
      <c r="K13" s="1189"/>
      <c r="L13" s="1189"/>
      <c r="M13" s="1189"/>
      <c r="N13" s="1189"/>
      <c r="O13" s="1189"/>
      <c r="P13" s="647"/>
      <c r="Q13" s="21"/>
      <c r="R13" s="21"/>
      <c r="S13" s="21"/>
      <c r="T13" s="21"/>
      <c r="U13" s="6"/>
      <c r="V13" s="5"/>
    </row>
    <row r="14" spans="1:22" ht="45.75" customHeight="1" x14ac:dyDescent="0.2">
      <c r="A14" s="5"/>
      <c r="B14" s="1188" t="s">
        <v>178</v>
      </c>
      <c r="C14" s="1189"/>
      <c r="D14" s="1189"/>
      <c r="E14" s="1189"/>
      <c r="F14" s="1189"/>
      <c r="G14" s="1189"/>
      <c r="H14" s="1189"/>
      <c r="I14" s="1189"/>
      <c r="J14" s="1189"/>
      <c r="K14" s="1189"/>
      <c r="L14" s="1189"/>
      <c r="M14" s="1189"/>
      <c r="N14" s="1189"/>
      <c r="O14" s="1189"/>
      <c r="P14" s="647"/>
      <c r="Q14" s="21"/>
      <c r="R14" s="21"/>
      <c r="S14" s="21"/>
      <c r="T14" s="21"/>
      <c r="U14" s="6"/>
      <c r="V14" s="5"/>
    </row>
    <row r="15" spans="1:22" ht="32.25" customHeight="1" x14ac:dyDescent="0.2">
      <c r="A15" s="5"/>
      <c r="B15" s="115" t="s">
        <v>179</v>
      </c>
      <c r="C15" s="45"/>
      <c r="D15" s="45"/>
      <c r="E15" s="45"/>
      <c r="F15" s="45"/>
      <c r="G15" s="116"/>
      <c r="H15" s="45"/>
      <c r="I15" s="45"/>
      <c r="J15" s="45"/>
      <c r="K15" s="45"/>
      <c r="L15" s="45"/>
      <c r="M15" s="45"/>
      <c r="N15" s="45"/>
      <c r="O15" s="45"/>
      <c r="P15" s="45"/>
      <c r="Q15" s="21"/>
      <c r="R15" s="21"/>
      <c r="S15" s="21"/>
      <c r="T15" s="21"/>
      <c r="U15" s="6"/>
      <c r="V15" s="5"/>
    </row>
    <row r="16" spans="1:22" ht="48" x14ac:dyDescent="0.2">
      <c r="A16" s="5"/>
      <c r="B16" s="94" t="s">
        <v>180</v>
      </c>
      <c r="C16" s="21"/>
      <c r="D16" s="21"/>
      <c r="E16" s="95" t="s">
        <v>181</v>
      </c>
      <c r="F16" s="95" t="s">
        <v>182</v>
      </c>
      <c r="G16" s="21"/>
      <c r="H16" s="21"/>
      <c r="I16" s="21"/>
      <c r="J16" s="21"/>
      <c r="K16" s="21"/>
      <c r="L16" s="111" t="s">
        <v>183</v>
      </c>
      <c r="M16" s="44"/>
      <c r="N16" s="44"/>
      <c r="O16" s="95" t="s">
        <v>184</v>
      </c>
      <c r="P16" s="95" t="s">
        <v>182</v>
      </c>
      <c r="Q16" s="44"/>
      <c r="R16" s="44"/>
      <c r="S16" s="44"/>
      <c r="T16" s="18"/>
      <c r="U16" s="6"/>
      <c r="V16" s="5"/>
    </row>
    <row r="17" spans="1:22" ht="56" x14ac:dyDescent="0.2">
      <c r="A17" s="5"/>
      <c r="B17" s="166" t="s">
        <v>185</v>
      </c>
      <c r="C17" s="166" t="s">
        <v>186</v>
      </c>
      <c r="D17" s="166" t="s">
        <v>187</v>
      </c>
      <c r="E17" s="166" t="s">
        <v>188</v>
      </c>
      <c r="F17" s="166" t="s">
        <v>189</v>
      </c>
      <c r="G17" s="166" t="s">
        <v>190</v>
      </c>
      <c r="H17" s="54" t="s">
        <v>191</v>
      </c>
      <c r="I17" s="54" t="s">
        <v>192</v>
      </c>
      <c r="J17" s="54" t="s">
        <v>193</v>
      </c>
      <c r="K17" s="57"/>
      <c r="L17" s="166" t="s">
        <v>185</v>
      </c>
      <c r="M17" s="166" t="s">
        <v>186</v>
      </c>
      <c r="N17" s="166" t="s">
        <v>187</v>
      </c>
      <c r="O17" s="166" t="s">
        <v>188</v>
      </c>
      <c r="P17" s="166" t="s">
        <v>194</v>
      </c>
      <c r="Q17" s="166" t="s">
        <v>190</v>
      </c>
      <c r="R17" s="54" t="s">
        <v>191</v>
      </c>
      <c r="S17" s="54" t="s">
        <v>192</v>
      </c>
      <c r="T17" s="54" t="s">
        <v>193</v>
      </c>
      <c r="U17" s="6"/>
      <c r="V17" s="5"/>
    </row>
    <row r="18" spans="1:22" ht="28" x14ac:dyDescent="0.2">
      <c r="A18" s="5"/>
      <c r="B18" s="889" t="s">
        <v>1530</v>
      </c>
      <c r="C18" s="890">
        <v>2.34</v>
      </c>
      <c r="D18" s="237" t="s">
        <v>195</v>
      </c>
      <c r="E18" s="231">
        <v>80564.444999999992</v>
      </c>
      <c r="F18" s="384">
        <v>4.7132499999999995</v>
      </c>
      <c r="G18" s="762">
        <v>6</v>
      </c>
      <c r="H18" s="380">
        <f t="shared" ref="H18" si="0">IF(B18&lt;&gt;"",C18*E18*0.000001,"")</f>
        <v>0.18852080129999996</v>
      </c>
      <c r="I18" s="373">
        <f t="shared" ref="I18" si="1">IF(B18&lt;&gt;"",C18*F18,"")</f>
        <v>11.029004999999998</v>
      </c>
      <c r="J18" s="239">
        <f>IF(B18&lt;&gt;"",C18*G18,"")</f>
        <v>14.04</v>
      </c>
      <c r="K18" s="21"/>
      <c r="L18" s="42" t="s">
        <v>196</v>
      </c>
      <c r="M18" s="231">
        <f>B47</f>
        <v>17010.309278350516</v>
      </c>
      <c r="N18" s="237" t="s">
        <v>197</v>
      </c>
      <c r="O18" s="892">
        <f>B89</f>
        <v>17.939391759913995</v>
      </c>
      <c r="P18" s="894">
        <f>B94</f>
        <v>2.5036188543827503E-3</v>
      </c>
      <c r="Q18" s="895">
        <f>B69/1000</f>
        <v>2E-3</v>
      </c>
      <c r="R18" s="380">
        <f t="shared" ref="R18" si="2">IF(L18&lt;&gt;"",M18*O18*0.000001,"")</f>
        <v>0.30515460210162981</v>
      </c>
      <c r="S18" s="373">
        <f t="shared" ref="S18" si="3">IF(L18&lt;&gt;"",M18*P18,"")</f>
        <v>42.587331028160186</v>
      </c>
      <c r="T18" s="239">
        <f t="shared" ref="T18" si="4">IF(L18&lt;&gt;"",M18*Q18,"")</f>
        <v>34.020618556701031</v>
      </c>
      <c r="U18" s="6"/>
      <c r="V18" s="5"/>
    </row>
    <row r="19" spans="1:22" ht="28" x14ac:dyDescent="0.2">
      <c r="A19" s="5"/>
      <c r="B19" s="42" t="s">
        <v>198</v>
      </c>
      <c r="C19" s="232">
        <f>Q49</f>
        <v>0.36730356164383565</v>
      </c>
      <c r="D19" s="237" t="s">
        <v>195</v>
      </c>
      <c r="E19" s="384">
        <f>R49</f>
        <v>39808.319052999999</v>
      </c>
      <c r="F19" s="384">
        <f>S49</f>
        <v>2.6</v>
      </c>
      <c r="G19" s="762"/>
      <c r="H19" s="380">
        <f t="shared" ref="H19:H27" si="5">IF(B19&lt;&gt;"",C19*E19*0.000001,"")</f>
        <v>1.4621737371221062E-2</v>
      </c>
      <c r="I19" s="373">
        <f t="shared" ref="I19:I27" si="6">IF(B19&lt;&gt;"",C19*F19,"")</f>
        <v>0.95498926027397268</v>
      </c>
      <c r="J19" s="239">
        <f t="shared" ref="J19" si="7">IF(B19&lt;&gt;"",C19*G19,"")</f>
        <v>0</v>
      </c>
      <c r="K19" s="21"/>
      <c r="L19" s="42" t="s">
        <v>199</v>
      </c>
      <c r="M19" s="232">
        <f>C66</f>
        <v>3.3223260309278353</v>
      </c>
      <c r="N19" s="237" t="s">
        <v>197</v>
      </c>
      <c r="O19" s="232">
        <f>B84</f>
        <v>119.56102305013398</v>
      </c>
      <c r="P19" s="893">
        <f>B104</f>
        <v>1.3231124921641958E-2</v>
      </c>
      <c r="Q19" s="762">
        <f>B74</f>
        <v>19.09090909090909</v>
      </c>
      <c r="R19" s="380">
        <f t="shared" ref="R19:R27" si="8">IF(L19&lt;&gt;"",M19*O19*0.000001,"")</f>
        <v>3.9722069916382302E-4</v>
      </c>
      <c r="S19" s="896">
        <f t="shared" ref="S19:S27" si="9">IF(L19&lt;&gt;"",M19*P19,"")</f>
        <v>4.3958110745629088E-2</v>
      </c>
      <c r="T19" s="239">
        <f t="shared" ref="T19" si="10">IF(L19&lt;&gt;"",M19*Q19,"")</f>
        <v>63.426224226804123</v>
      </c>
      <c r="U19" s="6"/>
      <c r="V19" s="5"/>
    </row>
    <row r="20" spans="1:22" ht="18" x14ac:dyDescent="0.2">
      <c r="A20" s="5"/>
      <c r="B20" s="42" t="s">
        <v>200</v>
      </c>
      <c r="C20" s="232">
        <f t="shared" ref="C20:C25" si="11">Q50</f>
        <v>0.16056986301369863</v>
      </c>
      <c r="D20" s="237" t="s">
        <v>195</v>
      </c>
      <c r="E20" s="384">
        <f t="shared" ref="E20:E25" si="12">R50</f>
        <v>94781.7</v>
      </c>
      <c r="F20" s="384">
        <f t="shared" ref="F20:F25" si="13">S50</f>
        <v>5.5449999999999999</v>
      </c>
      <c r="G20" s="762"/>
      <c r="H20" s="380">
        <f t="shared" si="5"/>
        <v>1.5219084585205479E-2</v>
      </c>
      <c r="I20" s="373">
        <f t="shared" si="6"/>
        <v>0.89035989041095887</v>
      </c>
      <c r="J20" s="239">
        <f t="shared" ref="J20:J27" si="14">IF(B20&lt;&gt;"",C20*G20,"")</f>
        <v>0</v>
      </c>
      <c r="K20" s="21"/>
      <c r="L20" s="42" t="s">
        <v>201</v>
      </c>
      <c r="M20" s="232">
        <f>Q74</f>
        <v>0.31749784111686646</v>
      </c>
      <c r="N20" s="237" t="s">
        <v>195</v>
      </c>
      <c r="O20" s="232">
        <f>R74</f>
        <v>19051.099999999999</v>
      </c>
      <c r="P20" s="384">
        <v>1.37</v>
      </c>
      <c r="Q20" s="238"/>
      <c r="R20" s="380">
        <f t="shared" si="8"/>
        <v>6.0486831209015345E-3</v>
      </c>
      <c r="S20" s="373">
        <f t="shared" si="9"/>
        <v>0.43497204233010711</v>
      </c>
      <c r="T20" s="239">
        <f t="shared" ref="T20:T27" si="15">IF(L20&lt;&gt;"",M20*Q20,"")</f>
        <v>0</v>
      </c>
      <c r="U20" s="6"/>
      <c r="V20" s="5"/>
    </row>
    <row r="21" spans="1:22" ht="18" x14ac:dyDescent="0.2">
      <c r="A21" s="5"/>
      <c r="B21" s="42" t="s">
        <v>202</v>
      </c>
      <c r="C21" s="232">
        <f t="shared" si="11"/>
        <v>5.0178082191780823E-3</v>
      </c>
      <c r="D21" s="237" t="s">
        <v>195</v>
      </c>
      <c r="E21" s="384">
        <f t="shared" si="12"/>
        <v>69190.600000000006</v>
      </c>
      <c r="F21" s="384">
        <f t="shared" si="13"/>
        <v>1.57</v>
      </c>
      <c r="G21" s="238"/>
      <c r="H21" s="380">
        <f t="shared" si="5"/>
        <v>3.4718516136986307E-4</v>
      </c>
      <c r="I21" s="373">
        <f t="shared" si="6"/>
        <v>7.8779589041095902E-3</v>
      </c>
      <c r="J21" s="239">
        <f t="shared" si="14"/>
        <v>0</v>
      </c>
      <c r="K21" s="21"/>
      <c r="L21" s="42" t="s">
        <v>203</v>
      </c>
      <c r="M21" s="232">
        <f t="shared" ref="M21:M26" si="16">Q75</f>
        <v>0.34946466844392127</v>
      </c>
      <c r="N21" s="237" t="s">
        <v>195</v>
      </c>
      <c r="O21" s="232">
        <f t="shared" ref="O21:O26" si="17">R75</f>
        <v>53741.394000000008</v>
      </c>
      <c r="P21" s="384">
        <v>6.15</v>
      </c>
      <c r="Q21" s="238"/>
      <c r="R21" s="380">
        <f t="shared" si="8"/>
        <v>1.8780718435924142E-2</v>
      </c>
      <c r="S21" s="373">
        <f t="shared" si="9"/>
        <v>2.1492077109301158</v>
      </c>
      <c r="T21" s="239">
        <f t="shared" si="15"/>
        <v>0</v>
      </c>
      <c r="U21" s="6"/>
      <c r="V21" s="5"/>
    </row>
    <row r="22" spans="1:22" ht="18" x14ac:dyDescent="0.2">
      <c r="A22" s="5"/>
      <c r="B22" s="42" t="s">
        <v>204</v>
      </c>
      <c r="C22" s="232">
        <f t="shared" si="11"/>
        <v>0.32113972602739727</v>
      </c>
      <c r="D22" s="237" t="s">
        <v>195</v>
      </c>
      <c r="E22" s="384">
        <f t="shared" si="12"/>
        <v>19051.124118</v>
      </c>
      <c r="F22" s="384">
        <f t="shared" si="13"/>
        <v>1.37</v>
      </c>
      <c r="G22" s="238"/>
      <c r="H22" s="380">
        <f t="shared" si="5"/>
        <v>6.1180727797684603E-3</v>
      </c>
      <c r="I22" s="373">
        <f t="shared" si="6"/>
        <v>0.43996142465753429</v>
      </c>
      <c r="J22" s="239">
        <f t="shared" si="14"/>
        <v>0</v>
      </c>
      <c r="K22" s="21"/>
      <c r="L22" s="42" t="s">
        <v>205</v>
      </c>
      <c r="M22" s="232">
        <f t="shared" si="16"/>
        <v>0.39875731544863013</v>
      </c>
      <c r="N22" s="237" t="s">
        <v>195</v>
      </c>
      <c r="O22" s="232">
        <f t="shared" si="17"/>
        <v>146912.1</v>
      </c>
      <c r="P22" s="384">
        <v>9.16</v>
      </c>
      <c r="Q22" s="238"/>
      <c r="R22" s="380">
        <f t="shared" si="8"/>
        <v>5.8582274602920696E-2</v>
      </c>
      <c r="S22" s="373">
        <f t="shared" si="9"/>
        <v>3.6526170095094521</v>
      </c>
      <c r="T22" s="239">
        <f t="shared" si="15"/>
        <v>0</v>
      </c>
      <c r="U22" s="6"/>
      <c r="V22" s="5"/>
    </row>
    <row r="23" spans="1:22" ht="18" x14ac:dyDescent="0.2">
      <c r="A23" s="5"/>
      <c r="B23" s="42" t="s">
        <v>206</v>
      </c>
      <c r="C23" s="232">
        <f t="shared" si="11"/>
        <v>2.7096164383561647E-2</v>
      </c>
      <c r="D23" s="237" t="s">
        <v>195</v>
      </c>
      <c r="E23" s="384">
        <f t="shared" si="12"/>
        <v>80564.444999999992</v>
      </c>
      <c r="F23" s="384">
        <f t="shared" si="13"/>
        <v>4.7132499999999995</v>
      </c>
      <c r="G23" s="762"/>
      <c r="H23" s="380">
        <f t="shared" si="5"/>
        <v>2.182987445190411E-3</v>
      </c>
      <c r="I23" s="373">
        <f t="shared" si="6"/>
        <v>0.12771099678082193</v>
      </c>
      <c r="J23" s="239">
        <f t="shared" si="14"/>
        <v>0</v>
      </c>
      <c r="K23" s="21"/>
      <c r="L23" s="42" t="s">
        <v>207</v>
      </c>
      <c r="M23" s="232">
        <f t="shared" si="16"/>
        <v>0.34626547654109596</v>
      </c>
      <c r="N23" s="237" t="s">
        <v>207</v>
      </c>
      <c r="O23" s="232">
        <f t="shared" si="17"/>
        <v>2843.46</v>
      </c>
      <c r="P23" s="384">
        <v>0.24</v>
      </c>
      <c r="Q23" s="238"/>
      <c r="R23" s="380">
        <f t="shared" si="8"/>
        <v>9.8459203192554474E-4</v>
      </c>
      <c r="S23" s="373">
        <f t="shared" si="9"/>
        <v>8.3103714369863024E-2</v>
      </c>
      <c r="T23" s="239">
        <f t="shared" si="15"/>
        <v>0</v>
      </c>
      <c r="U23" s="6"/>
      <c r="V23" s="5"/>
    </row>
    <row r="24" spans="1:22" ht="18" x14ac:dyDescent="0.2">
      <c r="A24" s="5"/>
      <c r="B24" s="42" t="s">
        <v>208</v>
      </c>
      <c r="C24" s="232">
        <f t="shared" si="11"/>
        <v>1.6056986301369865E-2</v>
      </c>
      <c r="D24" s="237" t="s">
        <v>195</v>
      </c>
      <c r="E24" s="384">
        <f t="shared" si="12"/>
        <v>73171.48</v>
      </c>
      <c r="F24" s="384">
        <f t="shared" si="13"/>
        <v>2.41</v>
      </c>
      <c r="G24" s="948"/>
      <c r="H24" s="380">
        <f t="shared" si="5"/>
        <v>1.1749134520109589E-3</v>
      </c>
      <c r="I24" s="373">
        <f t="shared" si="6"/>
        <v>3.869733698630138E-2</v>
      </c>
      <c r="J24" s="239">
        <f t="shared" si="14"/>
        <v>0</v>
      </c>
      <c r="K24" s="21"/>
      <c r="L24" s="42" t="s">
        <v>209</v>
      </c>
      <c r="M24" s="232">
        <f t="shared" si="16"/>
        <v>0.28817818826626712</v>
      </c>
      <c r="N24" s="237" t="s">
        <v>195</v>
      </c>
      <c r="O24" s="232">
        <f t="shared" si="17"/>
        <v>110079.81480000001</v>
      </c>
      <c r="P24" s="384">
        <v>5.9</v>
      </c>
      <c r="Q24" s="238"/>
      <c r="R24" s="380">
        <f t="shared" si="8"/>
        <v>3.1722601593750219E-2</v>
      </c>
      <c r="S24" s="373">
        <f t="shared" si="9"/>
        <v>1.700251310770976</v>
      </c>
      <c r="T24" s="239">
        <f t="shared" si="15"/>
        <v>0</v>
      </c>
      <c r="U24" s="6"/>
      <c r="V24" s="5"/>
    </row>
    <row r="25" spans="1:22" ht="18" x14ac:dyDescent="0.2">
      <c r="A25" s="5"/>
      <c r="B25" s="42" t="s">
        <v>210</v>
      </c>
      <c r="C25" s="232">
        <f t="shared" si="11"/>
        <v>1.3046301369863014</v>
      </c>
      <c r="D25" s="237" t="s">
        <v>195</v>
      </c>
      <c r="E25" s="384">
        <f t="shared" si="12"/>
        <v>19051.099999999999</v>
      </c>
      <c r="F25" s="384">
        <f t="shared" si="13"/>
        <v>1.37</v>
      </c>
      <c r="G25" s="948"/>
      <c r="H25" s="380">
        <f t="shared" si="5"/>
        <v>2.4854639202739722E-2</v>
      </c>
      <c r="I25" s="373">
        <f t="shared" si="6"/>
        <v>1.787343287671233</v>
      </c>
      <c r="J25" s="239">
        <f t="shared" si="14"/>
        <v>0</v>
      </c>
      <c r="K25" s="21"/>
      <c r="L25" s="42" t="s">
        <v>211</v>
      </c>
      <c r="M25" s="232">
        <f t="shared" si="16"/>
        <v>2.5744085429794519E-2</v>
      </c>
      <c r="N25" s="237" t="s">
        <v>195</v>
      </c>
      <c r="O25" s="232">
        <f t="shared" si="17"/>
        <v>68337.822</v>
      </c>
      <c r="P25" s="384">
        <v>3.76</v>
      </c>
      <c r="Q25" s="238"/>
      <c r="R25" s="380">
        <f t="shared" si="8"/>
        <v>1.7592947276540913E-3</v>
      </c>
      <c r="S25" s="373">
        <f t="shared" si="9"/>
        <v>9.6797761216027386E-2</v>
      </c>
      <c r="T25" s="239">
        <f t="shared" si="15"/>
        <v>0</v>
      </c>
      <c r="U25" s="6"/>
      <c r="V25" s="5"/>
    </row>
    <row r="26" spans="1:22" ht="18" x14ac:dyDescent="0.2">
      <c r="A26" s="5"/>
      <c r="B26" s="42"/>
      <c r="C26" s="232"/>
      <c r="D26" s="237"/>
      <c r="E26" s="232"/>
      <c r="F26" s="384"/>
      <c r="G26" s="238"/>
      <c r="H26" s="380" t="str">
        <f t="shared" si="5"/>
        <v/>
      </c>
      <c r="I26" s="373" t="str">
        <f t="shared" si="6"/>
        <v/>
      </c>
      <c r="J26" s="239" t="str">
        <f t="shared" si="14"/>
        <v/>
      </c>
      <c r="K26" s="21"/>
      <c r="L26" s="42" t="s">
        <v>208</v>
      </c>
      <c r="M26" s="232">
        <f t="shared" si="16"/>
        <v>0.49518472315496576</v>
      </c>
      <c r="N26" s="237" t="s">
        <v>195</v>
      </c>
      <c r="O26" s="232">
        <f t="shared" si="17"/>
        <v>73171.704000000012</v>
      </c>
      <c r="P26" s="384">
        <v>3.1</v>
      </c>
      <c r="Q26" s="948"/>
      <c r="R26" s="380">
        <f t="shared" si="8"/>
        <v>3.6233509988017103E-2</v>
      </c>
      <c r="S26" s="373">
        <f t="shared" si="9"/>
        <v>1.5350726417803939</v>
      </c>
      <c r="T26" s="239">
        <f t="shared" si="15"/>
        <v>0</v>
      </c>
      <c r="U26" s="6"/>
      <c r="V26" s="5"/>
    </row>
    <row r="27" spans="1:22" ht="18" x14ac:dyDescent="0.2">
      <c r="A27" s="5"/>
      <c r="B27" s="42"/>
      <c r="C27" s="232"/>
      <c r="D27" s="237"/>
      <c r="E27" s="232"/>
      <c r="F27" s="384"/>
      <c r="G27" s="238"/>
      <c r="H27" s="380" t="str">
        <f t="shared" si="5"/>
        <v/>
      </c>
      <c r="I27" s="373" t="str">
        <f t="shared" si="6"/>
        <v/>
      </c>
      <c r="J27" s="239" t="str">
        <f t="shared" si="14"/>
        <v/>
      </c>
      <c r="K27" s="21"/>
      <c r="L27" s="42"/>
      <c r="M27" s="232"/>
      <c r="N27" s="237"/>
      <c r="O27" s="232"/>
      <c r="P27" s="384"/>
      <c r="Q27" s="238"/>
      <c r="R27" s="380" t="str">
        <f t="shared" si="8"/>
        <v/>
      </c>
      <c r="S27" s="373" t="str">
        <f t="shared" si="9"/>
        <v/>
      </c>
      <c r="T27" s="239" t="str">
        <f t="shared" si="15"/>
        <v/>
      </c>
      <c r="U27" s="6"/>
      <c r="V27" s="5"/>
    </row>
    <row r="28" spans="1:22" ht="15.75" customHeight="1" x14ac:dyDescent="0.2">
      <c r="A28" s="5"/>
      <c r="B28" s="38"/>
      <c r="C28" s="240"/>
      <c r="D28" s="240"/>
      <c r="E28" s="240"/>
      <c r="F28" s="240"/>
      <c r="G28" s="76" t="s">
        <v>212</v>
      </c>
      <c r="H28" s="380">
        <f>SUM(H18:H27)</f>
        <v>0.2530394212975059</v>
      </c>
      <c r="I28" s="373">
        <f>SUM(I18:I27)</f>
        <v>15.27594515568493</v>
      </c>
      <c r="J28" s="241">
        <f>SUM(J18:J27)</f>
        <v>14.04</v>
      </c>
      <c r="K28" s="21"/>
      <c r="L28" s="21"/>
      <c r="M28" s="240"/>
      <c r="N28" s="240"/>
      <c r="O28" s="240"/>
      <c r="P28" s="240"/>
      <c r="Q28" s="76" t="s">
        <v>212</v>
      </c>
      <c r="R28" s="380">
        <f>SUM(R18:R27)</f>
        <v>0.45966349730188694</v>
      </c>
      <c r="S28" s="373">
        <f>SUM(S18:S27)</f>
        <v>52.28331132981274</v>
      </c>
      <c r="T28" s="241">
        <f>SUM(T18:T27)</f>
        <v>97.446842783505161</v>
      </c>
      <c r="U28" s="6"/>
      <c r="V28" s="5"/>
    </row>
    <row r="29" spans="1:22" ht="15.75" customHeight="1" x14ac:dyDescent="0.2">
      <c r="A29" s="5"/>
      <c r="B29" s="98"/>
      <c r="C29" s="72"/>
      <c r="D29" s="72"/>
      <c r="E29" s="72"/>
      <c r="F29" s="72"/>
      <c r="G29" s="73"/>
      <c r="H29" s="74"/>
      <c r="I29" s="74"/>
      <c r="J29" s="75"/>
      <c r="K29" s="21"/>
      <c r="L29" s="44"/>
      <c r="M29" s="44"/>
      <c r="N29" s="44"/>
      <c r="O29" s="44"/>
      <c r="P29" s="44"/>
      <c r="Q29" s="44"/>
      <c r="R29" s="44"/>
      <c r="S29" s="44"/>
      <c r="T29" s="18"/>
      <c r="U29" s="6"/>
      <c r="V29" s="5"/>
    </row>
    <row r="30" spans="1:22" ht="30.75" customHeight="1" x14ac:dyDescent="0.2">
      <c r="A30" s="5"/>
      <c r="B30" s="1188" t="s">
        <v>213</v>
      </c>
      <c r="C30" s="1189"/>
      <c r="D30" s="1189"/>
      <c r="E30" s="1189"/>
      <c r="F30" s="1189"/>
      <c r="G30" s="1189"/>
      <c r="H30" s="1189"/>
      <c r="I30" s="1189"/>
      <c r="J30" s="1189"/>
      <c r="K30" s="1189"/>
      <c r="L30" s="1189"/>
      <c r="M30" s="1189"/>
      <c r="N30" s="1189"/>
      <c r="O30" s="1189"/>
      <c r="P30" s="1189"/>
      <c r="Q30" s="1189"/>
      <c r="R30" s="1189"/>
      <c r="S30" s="1189"/>
      <c r="T30" s="1189"/>
      <c r="U30" s="6"/>
      <c r="V30" s="5"/>
    </row>
    <row r="31" spans="1:22" ht="21" customHeight="1" x14ac:dyDescent="0.2">
      <c r="A31" s="5"/>
      <c r="B31" s="115" t="s">
        <v>214</v>
      </c>
      <c r="C31" s="647"/>
      <c r="D31" s="647"/>
      <c r="E31" s="647"/>
      <c r="F31" s="647"/>
      <c r="G31" s="647"/>
      <c r="H31" s="647"/>
      <c r="I31" s="647"/>
      <c r="J31" s="647"/>
      <c r="K31" s="647"/>
      <c r="L31" s="647"/>
      <c r="M31" s="647"/>
      <c r="N31" s="647"/>
      <c r="O31" s="647"/>
      <c r="P31" s="647"/>
      <c r="Q31" s="647"/>
      <c r="R31" s="647"/>
      <c r="S31" s="647"/>
      <c r="T31" s="647"/>
      <c r="U31" s="6"/>
      <c r="V31" s="5"/>
    </row>
    <row r="32" spans="1:22" ht="15.75" customHeight="1" x14ac:dyDescent="0.2">
      <c r="A32" s="5"/>
      <c r="B32" s="117"/>
      <c r="C32" s="602"/>
      <c r="D32" s="602"/>
      <c r="E32" s="36"/>
      <c r="F32" s="36"/>
      <c r="G32" s="36"/>
      <c r="H32" s="36"/>
      <c r="I32" s="36"/>
      <c r="J32" s="36"/>
      <c r="K32" s="36"/>
      <c r="L32" s="36"/>
      <c r="M32" s="36"/>
      <c r="N32" s="36"/>
      <c r="O32" s="36"/>
      <c r="P32" s="36"/>
      <c r="Q32" s="36"/>
      <c r="R32" s="36"/>
      <c r="S32" s="36"/>
      <c r="T32" s="36"/>
      <c r="U32" s="118"/>
      <c r="V32" s="5"/>
    </row>
    <row r="33" spans="1:22" ht="18" x14ac:dyDescent="0.2">
      <c r="A33" s="5"/>
      <c r="B33" s="1163" t="s">
        <v>122</v>
      </c>
      <c r="C33" s="1165"/>
      <c r="D33" s="1165"/>
      <c r="E33" s="1165"/>
      <c r="F33" s="1165"/>
      <c r="G33" s="1165"/>
      <c r="H33" s="1165"/>
      <c r="I33" s="1165"/>
      <c r="J33" s="1165"/>
      <c r="K33" s="1165"/>
      <c r="L33" s="1165"/>
      <c r="M33" s="1165"/>
      <c r="N33" s="1165"/>
      <c r="O33" s="1165"/>
      <c r="P33" s="1165"/>
      <c r="Q33" s="1165"/>
      <c r="R33" s="1165"/>
      <c r="S33" s="1165"/>
      <c r="T33" s="1165"/>
      <c r="U33" s="34"/>
      <c r="V33" s="5"/>
    </row>
    <row r="34" spans="1:22" ht="15.75" customHeight="1" x14ac:dyDescent="0.2">
      <c r="A34" s="5"/>
      <c r="B34" s="603"/>
      <c r="C34" s="39"/>
      <c r="D34" s="39"/>
      <c r="E34" s="39"/>
      <c r="F34" s="39"/>
      <c r="G34" s="39"/>
      <c r="H34" s="39"/>
      <c r="I34" s="39"/>
      <c r="J34" s="39"/>
      <c r="K34" s="39"/>
      <c r="L34" s="39"/>
      <c r="M34" s="39"/>
      <c r="N34" s="39"/>
      <c r="O34" s="39"/>
      <c r="P34" s="39"/>
      <c r="Q34" s="39"/>
      <c r="R34" s="39"/>
      <c r="S34" s="39"/>
      <c r="T34" s="39"/>
      <c r="U34" s="1"/>
      <c r="V34" s="5"/>
    </row>
    <row r="35" spans="1:22" ht="15.75" customHeight="1" x14ac:dyDescent="0.2">
      <c r="A35" s="5"/>
      <c r="B35" s="1145" t="s">
        <v>123</v>
      </c>
      <c r="C35" s="1207" t="s">
        <v>215</v>
      </c>
      <c r="D35" s="1208"/>
      <c r="E35" s="1208"/>
      <c r="F35" s="1208"/>
      <c r="G35" s="1208"/>
      <c r="H35" s="1208"/>
      <c r="I35" s="1208"/>
      <c r="J35" s="1208"/>
      <c r="K35" s="1208"/>
      <c r="L35" s="1208"/>
      <c r="M35" s="1208"/>
      <c r="N35" s="1208"/>
      <c r="O35" s="1208"/>
      <c r="P35" s="1208"/>
      <c r="Q35" s="1208"/>
      <c r="R35" s="1208"/>
      <c r="S35" s="1208"/>
      <c r="T35" s="1209"/>
      <c r="U35" s="33"/>
      <c r="V35" s="5"/>
    </row>
    <row r="36" spans="1:22" x14ac:dyDescent="0.2">
      <c r="A36" s="5"/>
      <c r="B36" s="1145"/>
      <c r="C36" s="1207" t="s">
        <v>216</v>
      </c>
      <c r="D36" s="1208"/>
      <c r="E36" s="1208"/>
      <c r="F36" s="1208"/>
      <c r="G36" s="1208"/>
      <c r="H36" s="1208"/>
      <c r="I36" s="1208"/>
      <c r="J36" s="1208"/>
      <c r="K36" s="1208"/>
      <c r="L36" s="1208"/>
      <c r="M36" s="1208"/>
      <c r="N36" s="1208"/>
      <c r="O36" s="1208"/>
      <c r="P36" s="1208"/>
      <c r="Q36" s="1208"/>
      <c r="R36" s="1208"/>
      <c r="S36" s="1208"/>
      <c r="T36" s="1209"/>
      <c r="U36" s="666"/>
      <c r="V36" s="5"/>
    </row>
    <row r="37" spans="1:22" x14ac:dyDescent="0.2">
      <c r="A37" s="5"/>
      <c r="B37" s="1145"/>
      <c r="C37" s="1207" t="s">
        <v>217</v>
      </c>
      <c r="D37" s="1208"/>
      <c r="E37" s="1208"/>
      <c r="F37" s="1208"/>
      <c r="G37" s="1208"/>
      <c r="H37" s="1208"/>
      <c r="I37" s="1208"/>
      <c r="J37" s="1208"/>
      <c r="K37" s="1208"/>
      <c r="L37" s="1208"/>
      <c r="M37" s="1208"/>
      <c r="N37" s="1208"/>
      <c r="O37" s="1208"/>
      <c r="P37" s="1208"/>
      <c r="Q37" s="1208"/>
      <c r="R37" s="1208"/>
      <c r="S37" s="1208"/>
      <c r="T37" s="1209"/>
      <c r="U37" s="666"/>
      <c r="V37" s="5"/>
    </row>
    <row r="38" spans="1:22" x14ac:dyDescent="0.2">
      <c r="A38" s="5"/>
      <c r="B38" s="1145"/>
      <c r="C38" s="1207" t="s">
        <v>218</v>
      </c>
      <c r="D38" s="1208"/>
      <c r="E38" s="1208"/>
      <c r="F38" s="1208"/>
      <c r="G38" s="1208"/>
      <c r="H38" s="1208"/>
      <c r="I38" s="1208"/>
      <c r="J38" s="1208"/>
      <c r="K38" s="1208"/>
      <c r="L38" s="1208"/>
      <c r="M38" s="1208"/>
      <c r="N38" s="1208"/>
      <c r="O38" s="1208"/>
      <c r="P38" s="1208"/>
      <c r="Q38" s="1208"/>
      <c r="R38" s="1208"/>
      <c r="S38" s="1208"/>
      <c r="T38" s="1209"/>
      <c r="U38" s="666"/>
      <c r="V38" s="5"/>
    </row>
    <row r="39" spans="1:22" x14ac:dyDescent="0.2">
      <c r="A39" s="5"/>
      <c r="B39" s="1145"/>
      <c r="C39" s="1207" t="s">
        <v>219</v>
      </c>
      <c r="D39" s="1208"/>
      <c r="E39" s="1208"/>
      <c r="F39" s="1208"/>
      <c r="G39" s="1208"/>
      <c r="H39" s="1208"/>
      <c r="I39" s="1208"/>
      <c r="J39" s="1208"/>
      <c r="K39" s="1208"/>
      <c r="L39" s="1208"/>
      <c r="M39" s="1208"/>
      <c r="N39" s="1208"/>
      <c r="O39" s="1208"/>
      <c r="P39" s="1208"/>
      <c r="Q39" s="1208"/>
      <c r="R39" s="1208"/>
      <c r="S39" s="1208"/>
      <c r="T39" s="1209"/>
      <c r="U39" s="666"/>
      <c r="V39" s="5"/>
    </row>
    <row r="40" spans="1:22" x14ac:dyDescent="0.2">
      <c r="A40" s="5"/>
      <c r="B40" s="1145"/>
      <c r="C40" s="1255" t="s">
        <v>220</v>
      </c>
      <c r="D40" s="1256"/>
      <c r="E40" s="1256"/>
      <c r="F40" s="1256"/>
      <c r="G40" s="1256"/>
      <c r="H40" s="1256"/>
      <c r="I40" s="1256"/>
      <c r="J40" s="1256"/>
      <c r="K40" s="1256"/>
      <c r="L40" s="1256"/>
      <c r="M40" s="1256"/>
      <c r="N40" s="1256"/>
      <c r="O40" s="1256"/>
      <c r="P40" s="1256"/>
      <c r="Q40" s="1256"/>
      <c r="R40" s="1256"/>
      <c r="S40" s="1256"/>
      <c r="T40" s="1257"/>
      <c r="U40" s="666"/>
      <c r="V40" s="5"/>
    </row>
    <row r="41" spans="1:22" x14ac:dyDescent="0.2">
      <c r="A41" s="5"/>
      <c r="B41" s="1145"/>
      <c r="C41" s="1207" t="s">
        <v>221</v>
      </c>
      <c r="D41" s="1208"/>
      <c r="E41" s="1208"/>
      <c r="F41" s="1208"/>
      <c r="G41" s="1208"/>
      <c r="H41" s="1208"/>
      <c r="I41" s="1208"/>
      <c r="J41" s="1208"/>
      <c r="K41" s="1208"/>
      <c r="L41" s="1208"/>
      <c r="M41" s="1208"/>
      <c r="N41" s="1208"/>
      <c r="O41" s="1208"/>
      <c r="P41" s="1208"/>
      <c r="Q41" s="1208"/>
      <c r="R41" s="1208"/>
      <c r="S41" s="1208"/>
      <c r="T41" s="1209"/>
      <c r="U41" s="666"/>
      <c r="V41" s="5"/>
    </row>
    <row r="42" spans="1:22" x14ac:dyDescent="0.2">
      <c r="A42" s="5"/>
      <c r="B42" s="1145"/>
      <c r="C42" s="1207"/>
      <c r="D42" s="1208"/>
      <c r="E42" s="1208"/>
      <c r="F42" s="1208"/>
      <c r="G42" s="1208"/>
      <c r="H42" s="1208"/>
      <c r="I42" s="1208"/>
      <c r="J42" s="1208"/>
      <c r="K42" s="1208"/>
      <c r="L42" s="1208"/>
      <c r="M42" s="1208"/>
      <c r="N42" s="1208"/>
      <c r="O42" s="1208"/>
      <c r="P42" s="1208"/>
      <c r="Q42" s="1208"/>
      <c r="R42" s="1208"/>
      <c r="S42" s="1208"/>
      <c r="T42" s="1209"/>
      <c r="U42" s="666"/>
      <c r="V42" s="5"/>
    </row>
    <row r="43" spans="1:22" x14ac:dyDescent="0.2">
      <c r="A43" s="5"/>
      <c r="B43" s="2"/>
      <c r="C43" s="3"/>
      <c r="D43" s="3"/>
      <c r="E43" s="3"/>
      <c r="F43" s="3"/>
      <c r="G43" s="3"/>
      <c r="H43" s="3"/>
      <c r="I43" s="3"/>
      <c r="J43" s="3"/>
      <c r="K43" s="3"/>
      <c r="L43" s="3"/>
      <c r="M43" s="3"/>
      <c r="N43" s="3"/>
      <c r="O43" s="3"/>
      <c r="P43" s="3"/>
      <c r="Q43" s="3"/>
      <c r="R43" s="3"/>
      <c r="S43" s="3"/>
      <c r="T43" s="3"/>
      <c r="U43" s="4"/>
      <c r="V43" s="5"/>
    </row>
    <row r="44" spans="1:22" ht="19" thickBot="1" x14ac:dyDescent="0.25">
      <c r="B44" s="1163" t="s">
        <v>170</v>
      </c>
      <c r="C44" s="1165"/>
      <c r="D44" s="1165"/>
      <c r="E44" s="1165"/>
      <c r="F44" s="1165"/>
      <c r="G44" s="1165"/>
      <c r="H44" s="1165"/>
      <c r="I44" s="1165"/>
      <c r="J44" s="1165"/>
      <c r="K44" s="1165"/>
      <c r="L44" s="1165"/>
      <c r="M44" s="1165"/>
      <c r="N44" s="1165"/>
      <c r="O44" s="1165"/>
      <c r="P44" s="1165"/>
      <c r="Q44" s="1165"/>
      <c r="R44" s="1165"/>
      <c r="S44" s="1165"/>
      <c r="T44" s="1165"/>
      <c r="U44" s="34"/>
    </row>
    <row r="45" spans="1:22" ht="15.75" customHeight="1" x14ac:dyDescent="0.2">
      <c r="B45" s="7">
        <v>100000</v>
      </c>
      <c r="C45" s="18" t="s">
        <v>222</v>
      </c>
      <c r="D45" s="18"/>
      <c r="E45" s="18"/>
      <c r="F45" s="18"/>
      <c r="G45" s="18"/>
      <c r="H45" s="18"/>
      <c r="I45" s="18"/>
      <c r="J45" s="18"/>
      <c r="K45" s="18"/>
      <c r="L45" s="18"/>
      <c r="M45" s="1274" t="s">
        <v>223</v>
      </c>
      <c r="N45" s="1270"/>
      <c r="O45" s="1270"/>
      <c r="P45" s="1270"/>
      <c r="Q45" s="1270"/>
      <c r="R45" s="1270"/>
      <c r="S45" s="1270"/>
      <c r="T45" s="1270"/>
      <c r="U45" s="1271"/>
    </row>
    <row r="46" spans="1:22" ht="15.75" customHeight="1" thickBot="1" x14ac:dyDescent="0.25">
      <c r="B46" s="842">
        <v>0.5</v>
      </c>
      <c r="C46" s="18" t="s">
        <v>224</v>
      </c>
      <c r="D46" s="18"/>
      <c r="E46" s="18"/>
      <c r="F46" s="18"/>
      <c r="G46" s="18"/>
      <c r="H46" s="18"/>
      <c r="I46" s="18"/>
      <c r="J46" s="18"/>
      <c r="K46" s="18"/>
      <c r="L46" s="18"/>
      <c r="M46" s="1275"/>
      <c r="N46" s="1276"/>
      <c r="O46" s="1276"/>
      <c r="P46" s="1276"/>
      <c r="Q46" s="1276"/>
      <c r="R46" s="1276"/>
      <c r="S46" s="1276"/>
      <c r="T46" s="1276"/>
      <c r="U46" s="1277"/>
    </row>
    <row r="47" spans="1:22" ht="15.75" customHeight="1" thickBot="1" x14ac:dyDescent="0.25">
      <c r="B47" s="7">
        <f>M104</f>
        <v>17010.309278350516</v>
      </c>
      <c r="C47" s="18" t="s">
        <v>225</v>
      </c>
      <c r="D47" s="18"/>
      <c r="E47" s="18"/>
      <c r="F47" s="18"/>
      <c r="G47" s="18"/>
      <c r="H47" s="18"/>
      <c r="I47" s="18"/>
      <c r="J47" s="18"/>
      <c r="K47" s="18"/>
      <c r="L47" s="18"/>
      <c r="M47" s="1278" t="s">
        <v>226</v>
      </c>
      <c r="N47" s="1279"/>
      <c r="O47" s="1279"/>
      <c r="P47" s="1279"/>
      <c r="Q47" s="1279"/>
      <c r="R47" s="1280"/>
      <c r="S47" s="758"/>
      <c r="T47" s="742"/>
      <c r="U47" s="849"/>
    </row>
    <row r="48" spans="1:22" ht="15.75" customHeight="1" x14ac:dyDescent="0.2">
      <c r="B48" s="7"/>
      <c r="C48" s="18"/>
      <c r="D48" s="18"/>
      <c r="E48" s="18"/>
      <c r="F48" s="18"/>
      <c r="G48" s="18"/>
      <c r="H48" s="18"/>
      <c r="I48" s="18"/>
      <c r="J48" s="18"/>
      <c r="K48" s="18"/>
      <c r="L48" s="18"/>
      <c r="M48" s="1012" t="s">
        <v>227</v>
      </c>
      <c r="N48" s="857" t="s">
        <v>144</v>
      </c>
      <c r="O48" s="857" t="s">
        <v>228</v>
      </c>
      <c r="P48" s="857" t="s">
        <v>229</v>
      </c>
      <c r="Q48" s="857" t="s">
        <v>230</v>
      </c>
      <c r="R48" s="857" t="s">
        <v>231</v>
      </c>
      <c r="S48" s="859" t="s">
        <v>232</v>
      </c>
      <c r="T48" s="45"/>
      <c r="U48" s="695"/>
    </row>
    <row r="49" spans="2:21" ht="15.75" customHeight="1" x14ac:dyDescent="0.2">
      <c r="B49" s="843" t="s">
        <v>233</v>
      </c>
      <c r="C49" s="18"/>
      <c r="D49" s="18"/>
      <c r="E49" s="18"/>
      <c r="F49" s="18"/>
      <c r="G49" s="18"/>
      <c r="H49" s="18"/>
      <c r="I49" s="18"/>
      <c r="J49" s="18"/>
      <c r="K49" s="18"/>
      <c r="L49" s="18"/>
      <c r="M49" s="1010" t="s">
        <v>198</v>
      </c>
      <c r="N49" s="861" t="s">
        <v>195</v>
      </c>
      <c r="O49" s="861">
        <v>36.6</v>
      </c>
      <c r="P49" s="861">
        <f>O49*366.3/5</f>
        <v>2681.3160000000003</v>
      </c>
      <c r="Q49" s="861">
        <f>P49/$P$67</f>
        <v>0.36730356164383565</v>
      </c>
      <c r="R49" s="1013">
        <v>39808.319052999999</v>
      </c>
      <c r="S49" s="1014">
        <v>2.6</v>
      </c>
      <c r="T49" s="45"/>
      <c r="U49" s="695"/>
    </row>
    <row r="50" spans="2:21" ht="15.75" customHeight="1" x14ac:dyDescent="0.2">
      <c r="B50" s="7"/>
      <c r="C50" s="18"/>
      <c r="D50" s="18"/>
      <c r="E50" s="18"/>
      <c r="F50" s="18"/>
      <c r="G50" s="18"/>
      <c r="H50" s="18"/>
      <c r="I50" s="18"/>
      <c r="J50" s="18"/>
      <c r="K50" s="18"/>
      <c r="L50" s="18"/>
      <c r="M50" s="1010" t="s">
        <v>200</v>
      </c>
      <c r="N50" s="861" t="s">
        <v>195</v>
      </c>
      <c r="O50" s="861">
        <v>16</v>
      </c>
      <c r="P50" s="861">
        <f t="shared" ref="P50:P54" si="18">O50*366.3/5</f>
        <v>1172.1600000000001</v>
      </c>
      <c r="Q50" s="861">
        <f t="shared" ref="Q50:Q55" si="19">P50/$P$67</f>
        <v>0.16056986301369863</v>
      </c>
      <c r="R50" s="1013">
        <v>94781.7</v>
      </c>
      <c r="S50" s="1014">
        <f>(3.61+7.48)/2</f>
        <v>5.5449999999999999</v>
      </c>
      <c r="T50" s="45"/>
      <c r="U50" s="695"/>
    </row>
    <row r="51" spans="2:21" ht="15.75" customHeight="1" x14ac:dyDescent="0.2">
      <c r="B51" s="7"/>
      <c r="C51" s="18"/>
      <c r="D51" s="18"/>
      <c r="E51" s="18"/>
      <c r="F51" s="18"/>
      <c r="G51" s="18"/>
      <c r="H51" s="18"/>
      <c r="I51" s="18"/>
      <c r="J51" s="18"/>
      <c r="K51" s="18"/>
      <c r="L51" s="18"/>
      <c r="M51" s="1010" t="s">
        <v>202</v>
      </c>
      <c r="N51" s="861" t="s">
        <v>195</v>
      </c>
      <c r="O51" s="861">
        <v>0.5</v>
      </c>
      <c r="P51" s="861">
        <f t="shared" si="18"/>
        <v>36.630000000000003</v>
      </c>
      <c r="Q51" s="861">
        <f t="shared" si="19"/>
        <v>5.0178082191780823E-3</v>
      </c>
      <c r="R51" s="861">
        <v>69190.600000000006</v>
      </c>
      <c r="S51" s="1014">
        <v>1.57</v>
      </c>
      <c r="T51" s="45"/>
      <c r="U51" s="695"/>
    </row>
    <row r="52" spans="2:21" ht="15.75" customHeight="1" x14ac:dyDescent="0.2">
      <c r="B52" s="7"/>
      <c r="C52" s="18"/>
      <c r="D52" s="18"/>
      <c r="E52" s="18"/>
      <c r="F52" s="18"/>
      <c r="G52" s="18"/>
      <c r="H52" s="18"/>
      <c r="I52" s="18"/>
      <c r="J52" s="18"/>
      <c r="K52" s="18"/>
      <c r="L52" s="18"/>
      <c r="M52" s="1011" t="s">
        <v>204</v>
      </c>
      <c r="N52" s="861" t="s">
        <v>195</v>
      </c>
      <c r="O52" s="861">
        <v>32</v>
      </c>
      <c r="P52" s="861">
        <f t="shared" si="18"/>
        <v>2344.3200000000002</v>
      </c>
      <c r="Q52" s="861">
        <f t="shared" si="19"/>
        <v>0.32113972602739727</v>
      </c>
      <c r="R52" s="1013">
        <v>19051.124118</v>
      </c>
      <c r="S52" s="1014">
        <v>1.37</v>
      </c>
      <c r="T52" s="45"/>
      <c r="U52" s="695"/>
    </row>
    <row r="53" spans="2:21" ht="15.75" customHeight="1" x14ac:dyDescent="0.2">
      <c r="B53" s="7"/>
      <c r="C53" s="18"/>
      <c r="D53" s="18"/>
      <c r="E53" s="18"/>
      <c r="F53" s="18"/>
      <c r="G53" s="18"/>
      <c r="H53" s="18"/>
      <c r="I53" s="18"/>
      <c r="J53" s="18"/>
      <c r="K53" s="18"/>
      <c r="L53" s="18"/>
      <c r="M53" s="1010" t="s">
        <v>234</v>
      </c>
      <c r="N53" s="861" t="s">
        <v>195</v>
      </c>
      <c r="O53" s="861">
        <v>2.7</v>
      </c>
      <c r="P53" s="861">
        <f t="shared" si="18"/>
        <v>197.80200000000002</v>
      </c>
      <c r="Q53" s="861">
        <f t="shared" si="19"/>
        <v>2.7096164383561647E-2</v>
      </c>
      <c r="R53" s="861">
        <f>R50*0.85</f>
        <v>80564.444999999992</v>
      </c>
      <c r="S53" s="1014">
        <f>S50*0.85</f>
        <v>4.7132499999999995</v>
      </c>
      <c r="T53" s="45"/>
      <c r="U53" s="695"/>
    </row>
    <row r="54" spans="2:21" ht="15.75" customHeight="1" x14ac:dyDescent="0.2">
      <c r="B54" s="7"/>
      <c r="C54" s="18"/>
      <c r="D54" s="18"/>
      <c r="E54" s="18"/>
      <c r="F54" s="18"/>
      <c r="G54" s="18"/>
      <c r="H54" s="18"/>
      <c r="I54" s="18"/>
      <c r="J54" s="18"/>
      <c r="K54" s="18"/>
      <c r="L54" s="18"/>
      <c r="M54" s="1010" t="s">
        <v>208</v>
      </c>
      <c r="N54" s="861" t="s">
        <v>195</v>
      </c>
      <c r="O54" s="861">
        <v>1.6</v>
      </c>
      <c r="P54" s="861">
        <f t="shared" si="18"/>
        <v>117.21600000000001</v>
      </c>
      <c r="Q54" s="861">
        <f t="shared" si="19"/>
        <v>1.6056986301369865E-2</v>
      </c>
      <c r="R54" s="1013">
        <v>73171.48</v>
      </c>
      <c r="S54" s="1014">
        <v>2.41</v>
      </c>
      <c r="T54" s="45"/>
      <c r="U54" s="695"/>
    </row>
    <row r="55" spans="2:21" ht="15.75" customHeight="1" thickBot="1" x14ac:dyDescent="0.25">
      <c r="B55" s="7"/>
      <c r="C55" s="18"/>
      <c r="D55" s="18"/>
      <c r="E55" s="18"/>
      <c r="F55" s="18"/>
      <c r="G55" s="18"/>
      <c r="H55" s="18"/>
      <c r="I55" s="18"/>
      <c r="J55" s="18"/>
      <c r="K55" s="18"/>
      <c r="L55" s="18"/>
      <c r="M55" s="998" t="s">
        <v>210</v>
      </c>
      <c r="N55" s="862" t="s">
        <v>195</v>
      </c>
      <c r="O55" s="862">
        <v>130</v>
      </c>
      <c r="P55" s="862">
        <f>O55*366.3/5</f>
        <v>9523.7999999999993</v>
      </c>
      <c r="Q55" s="862">
        <f t="shared" si="19"/>
        <v>1.3046301369863014</v>
      </c>
      <c r="R55" s="862">
        <v>19051.099999999999</v>
      </c>
      <c r="S55" s="1015">
        <v>1.37</v>
      </c>
      <c r="T55" s="45"/>
      <c r="U55" s="695"/>
    </row>
    <row r="56" spans="2:21" ht="15.75" customHeight="1" x14ac:dyDescent="0.2">
      <c r="B56" s="7"/>
      <c r="C56" s="18"/>
      <c r="D56" s="18"/>
      <c r="E56" s="18"/>
      <c r="F56" s="18"/>
      <c r="G56" s="18"/>
      <c r="H56" s="18"/>
      <c r="I56" s="18"/>
      <c r="J56" s="18"/>
      <c r="K56" s="18"/>
      <c r="L56" s="18"/>
      <c r="M56" s="694"/>
      <c r="T56" s="45"/>
      <c r="U56" s="695"/>
    </row>
    <row r="57" spans="2:21" ht="15.75" customHeight="1" thickBot="1" x14ac:dyDescent="0.25">
      <c r="B57" s="7"/>
      <c r="C57" s="18"/>
      <c r="D57" s="18"/>
      <c r="E57" s="18"/>
      <c r="F57" s="18"/>
      <c r="G57" s="18"/>
      <c r="H57" s="18"/>
      <c r="I57" s="18"/>
      <c r="J57" s="18"/>
      <c r="K57" s="18"/>
      <c r="L57" s="18"/>
      <c r="M57" s="863"/>
      <c r="N57" s="18"/>
      <c r="O57" s="148"/>
      <c r="P57" s="148"/>
      <c r="Q57" s="148"/>
      <c r="R57" s="148"/>
      <c r="S57" s="148"/>
      <c r="T57" s="148"/>
      <c r="U57" s="864"/>
    </row>
    <row r="58" spans="2:21" ht="15.75" customHeight="1" thickBot="1" x14ac:dyDescent="0.25">
      <c r="B58" s="7"/>
      <c r="C58" s="18"/>
      <c r="D58" s="18"/>
      <c r="E58" s="18"/>
      <c r="F58" s="18"/>
      <c r="G58" s="18"/>
      <c r="H58" s="18"/>
      <c r="I58" s="18"/>
      <c r="J58" s="18"/>
      <c r="K58" s="18"/>
      <c r="L58" s="18"/>
      <c r="M58" s="1281" t="s">
        <v>235</v>
      </c>
      <c r="N58" s="1282"/>
      <c r="O58" s="1282"/>
      <c r="P58" s="1283" t="s">
        <v>236</v>
      </c>
      <c r="Q58" s="1284"/>
      <c r="R58" s="1285"/>
      <c r="S58" s="888"/>
      <c r="T58" s="148"/>
      <c r="U58" s="864"/>
    </row>
    <row r="59" spans="2:21" ht="15.75" customHeight="1" x14ac:dyDescent="0.2">
      <c r="B59" s="7"/>
      <c r="C59" s="18"/>
      <c r="D59" s="18"/>
      <c r="E59" s="18"/>
      <c r="F59" s="18"/>
      <c r="G59" s="18"/>
      <c r="H59" s="18"/>
      <c r="I59" s="18"/>
      <c r="J59" s="18"/>
      <c r="K59" s="18"/>
      <c r="L59" s="18"/>
      <c r="M59" s="863"/>
      <c r="N59" s="18"/>
      <c r="O59" s="148"/>
      <c r="P59" s="865">
        <v>30</v>
      </c>
      <c r="Q59" s="866" t="s">
        <v>237</v>
      </c>
      <c r="R59" s="867"/>
      <c r="S59" s="68"/>
      <c r="T59" s="148"/>
      <c r="U59" s="864"/>
    </row>
    <row r="60" spans="2:21" ht="15.75" customHeight="1" x14ac:dyDescent="0.2">
      <c r="B60" s="7"/>
      <c r="C60" s="18"/>
      <c r="D60" s="18"/>
      <c r="E60" s="18"/>
      <c r="F60" s="18"/>
      <c r="G60" s="18"/>
      <c r="H60" s="18"/>
      <c r="I60" s="18"/>
      <c r="J60" s="18"/>
      <c r="K60" s="18"/>
      <c r="L60" s="18"/>
      <c r="M60" s="868" t="s">
        <v>238</v>
      </c>
      <c r="N60" s="18">
        <v>9.5E-4</v>
      </c>
      <c r="O60" s="148" t="s">
        <v>239</v>
      </c>
      <c r="P60" s="869">
        <v>293.07107000000002</v>
      </c>
      <c r="Q60" s="870" t="s">
        <v>240</v>
      </c>
      <c r="R60" s="871"/>
      <c r="S60" s="1001"/>
      <c r="T60" s="888"/>
      <c r="U60" s="1002"/>
    </row>
    <row r="61" spans="2:21" ht="15.75" customHeight="1" x14ac:dyDescent="0.2">
      <c r="B61" s="7"/>
      <c r="C61" s="18"/>
      <c r="D61" s="18"/>
      <c r="E61" s="18"/>
      <c r="F61" s="18"/>
      <c r="G61" s="18"/>
      <c r="H61" s="18"/>
      <c r="I61" s="18"/>
      <c r="J61" s="18"/>
      <c r="K61" s="18"/>
      <c r="L61" s="18"/>
      <c r="M61" s="868" t="s">
        <v>238</v>
      </c>
      <c r="N61" s="23">
        <v>947.82</v>
      </c>
      <c r="O61" s="23" t="s">
        <v>241</v>
      </c>
      <c r="P61" s="872">
        <f>P59*P60</f>
        <v>8792.1321000000007</v>
      </c>
      <c r="Q61" s="873" t="s">
        <v>242</v>
      </c>
      <c r="R61" s="874"/>
      <c r="S61" s="1001"/>
      <c r="T61" s="68"/>
      <c r="U61" s="1003"/>
    </row>
    <row r="62" spans="2:21" ht="15.75" customHeight="1" thickBot="1" x14ac:dyDescent="0.25">
      <c r="B62" s="7" t="s">
        <v>243</v>
      </c>
      <c r="C62" s="18"/>
      <c r="D62" s="18"/>
      <c r="E62" s="18"/>
      <c r="F62" s="18"/>
      <c r="G62" s="18"/>
      <c r="H62" s="18"/>
      <c r="I62" s="18"/>
      <c r="J62" s="18"/>
      <c r="K62" s="18"/>
      <c r="L62" s="18"/>
      <c r="M62" s="875"/>
      <c r="N62" s="876"/>
      <c r="O62" s="876"/>
      <c r="P62" s="869">
        <f>P61/24</f>
        <v>366.33883750000001</v>
      </c>
      <c r="Q62" s="870" t="s">
        <v>244</v>
      </c>
      <c r="R62" s="871"/>
      <c r="S62" s="1001"/>
      <c r="T62" s="68"/>
      <c r="U62" s="1003"/>
    </row>
    <row r="63" spans="2:21" ht="15.75" customHeight="1" x14ac:dyDescent="0.2">
      <c r="B63" s="35">
        <v>25</v>
      </c>
      <c r="C63" s="18" t="s">
        <v>245</v>
      </c>
      <c r="E63" s="18">
        <v>1000</v>
      </c>
      <c r="F63" s="18" t="s">
        <v>246</v>
      </c>
      <c r="G63" s="18"/>
      <c r="H63" s="18"/>
      <c r="I63" s="18"/>
      <c r="J63" s="18"/>
      <c r="K63" s="18"/>
      <c r="L63" s="18"/>
      <c r="M63" s="863"/>
      <c r="N63" s="18"/>
      <c r="O63" s="18"/>
      <c r="P63" s="877"/>
      <c r="Q63" s="148"/>
      <c r="R63" s="864"/>
      <c r="S63" s="148"/>
      <c r="T63" s="68"/>
      <c r="U63" s="1003"/>
    </row>
    <row r="64" spans="2:21" ht="15.75" customHeight="1" thickBot="1" x14ac:dyDescent="0.25">
      <c r="B64" s="35">
        <v>128</v>
      </c>
      <c r="C64" s="18" t="s">
        <v>247</v>
      </c>
      <c r="D64" s="18">
        <v>1</v>
      </c>
      <c r="E64" s="18" t="s">
        <v>248</v>
      </c>
      <c r="F64" s="18"/>
      <c r="G64" s="18"/>
      <c r="H64" s="18"/>
      <c r="I64" s="18"/>
      <c r="J64" s="18"/>
      <c r="K64" s="18"/>
      <c r="L64" s="18"/>
      <c r="M64" s="863"/>
      <c r="N64" s="18"/>
      <c r="O64" s="18"/>
      <c r="P64" s="877"/>
      <c r="Q64" s="148"/>
      <c r="R64" s="864"/>
      <c r="S64" s="148"/>
      <c r="T64" s="68"/>
      <c r="U64" s="1003"/>
    </row>
    <row r="65" spans="2:21" ht="15.75" customHeight="1" thickBot="1" x14ac:dyDescent="0.25">
      <c r="B65" s="35">
        <f>B63/B64</f>
        <v>0.1953125</v>
      </c>
      <c r="C65" s="18" t="s">
        <v>249</v>
      </c>
      <c r="D65" s="18"/>
      <c r="E65" s="18">
        <v>1000</v>
      </c>
      <c r="F65" s="18" t="s">
        <v>246</v>
      </c>
      <c r="G65" s="18"/>
      <c r="H65" s="18"/>
      <c r="I65" s="18"/>
      <c r="J65" s="18"/>
      <c r="K65" s="18"/>
      <c r="L65" s="18"/>
      <c r="M65" s="863"/>
      <c r="N65" s="18"/>
      <c r="O65" s="18"/>
      <c r="P65" s="1286" t="s">
        <v>250</v>
      </c>
      <c r="Q65" s="1287"/>
      <c r="R65" s="1288"/>
      <c r="S65" s="1004"/>
      <c r="T65" s="148"/>
      <c r="U65" s="864"/>
    </row>
    <row r="66" spans="2:21" ht="15.75" customHeight="1" x14ac:dyDescent="0.2">
      <c r="B66" s="7" t="s">
        <v>251</v>
      </c>
      <c r="C66" s="18">
        <f>B65*B47/E65</f>
        <v>3.3223260309278353</v>
      </c>
      <c r="D66" s="18" t="s">
        <v>252</v>
      </c>
      <c r="E66" s="18"/>
      <c r="F66" s="18"/>
      <c r="G66" s="18"/>
      <c r="H66" s="18"/>
      <c r="I66" s="18"/>
      <c r="J66" s="18"/>
      <c r="K66" s="18"/>
      <c r="L66" s="18"/>
      <c r="M66" s="863"/>
      <c r="N66" s="18"/>
      <c r="O66" s="18"/>
      <c r="P66" s="878">
        <v>20</v>
      </c>
      <c r="Q66" s="879" t="s">
        <v>253</v>
      </c>
      <c r="R66" s="880"/>
      <c r="S66" s="148"/>
      <c r="T66" s="148"/>
      <c r="U66" s="864"/>
    </row>
    <row r="67" spans="2:21" ht="15.75" customHeight="1" thickBot="1" x14ac:dyDescent="0.25">
      <c r="B67" s="7"/>
      <c r="C67" s="18"/>
      <c r="D67" s="18"/>
      <c r="E67" s="18"/>
      <c r="F67" s="18"/>
      <c r="G67" s="18"/>
      <c r="H67" s="18"/>
      <c r="I67" s="18"/>
      <c r="J67" s="18"/>
      <c r="K67" s="18"/>
      <c r="L67" s="18"/>
      <c r="M67" s="881"/>
      <c r="N67" s="882"/>
      <c r="O67" s="882"/>
      <c r="P67" s="883">
        <f>20*365</f>
        <v>7300</v>
      </c>
      <c r="Q67" s="884" t="s">
        <v>254</v>
      </c>
      <c r="R67" s="885"/>
      <c r="S67" s="884"/>
      <c r="T67" s="886"/>
      <c r="U67" s="1005"/>
    </row>
    <row r="68" spans="2:21" ht="15.75" customHeight="1" x14ac:dyDescent="0.2">
      <c r="B68" s="844" t="s">
        <v>255</v>
      </c>
      <c r="C68" s="18"/>
      <c r="D68" s="18"/>
      <c r="E68" s="18"/>
      <c r="F68" s="18"/>
      <c r="G68" s="18"/>
      <c r="H68" s="18"/>
      <c r="I68" s="18"/>
      <c r="J68" s="18"/>
      <c r="K68" s="18"/>
      <c r="L68" s="18"/>
      <c r="M68" s="863"/>
      <c r="N68" s="18"/>
      <c r="O68" s="18"/>
      <c r="P68" s="18"/>
      <c r="Q68" s="18"/>
      <c r="R68" s="18"/>
      <c r="S68" s="18"/>
      <c r="T68" s="148"/>
      <c r="U68" s="1006"/>
    </row>
    <row r="69" spans="2:21" ht="15.75" customHeight="1" thickBot="1" x14ac:dyDescent="0.25">
      <c r="B69" s="845">
        <v>2</v>
      </c>
      <c r="C69" s="18" t="s">
        <v>256</v>
      </c>
      <c r="D69" s="18"/>
      <c r="E69" s="18"/>
      <c r="F69" s="18"/>
      <c r="G69" s="18"/>
      <c r="H69" s="18"/>
      <c r="I69" s="18"/>
      <c r="J69" s="18"/>
      <c r="K69" s="18"/>
      <c r="L69" s="18"/>
      <c r="M69" s="881"/>
      <c r="N69" s="882"/>
      <c r="O69" s="882"/>
      <c r="P69" s="882"/>
      <c r="Q69" s="882"/>
      <c r="R69" s="882"/>
      <c r="S69" s="882"/>
      <c r="T69" s="884"/>
      <c r="U69" s="885"/>
    </row>
    <row r="70" spans="2:21" ht="15.75" customHeight="1" x14ac:dyDescent="0.2">
      <c r="B70" s="7"/>
      <c r="C70" s="18"/>
      <c r="D70" s="18"/>
      <c r="E70" s="18"/>
      <c r="F70" s="18"/>
      <c r="G70" s="18"/>
      <c r="H70" s="18"/>
      <c r="I70" s="18"/>
      <c r="J70" s="18"/>
      <c r="K70" s="18"/>
      <c r="L70" s="18"/>
      <c r="M70" s="1274" t="s">
        <v>223</v>
      </c>
      <c r="N70" s="1270"/>
      <c r="O70" s="1270"/>
      <c r="P70" s="1270"/>
      <c r="Q70" s="1270"/>
      <c r="R70" s="1270"/>
      <c r="S70" s="1270"/>
      <c r="T70" s="1270"/>
      <c r="U70" s="1271"/>
    </row>
    <row r="71" spans="2:21" ht="15.75" customHeight="1" thickBot="1" x14ac:dyDescent="0.25">
      <c r="B71" s="7" t="s">
        <v>257</v>
      </c>
      <c r="C71" s="18"/>
      <c r="D71" s="18"/>
      <c r="E71" s="18"/>
      <c r="F71" s="18"/>
      <c r="G71" s="18"/>
      <c r="H71" s="18"/>
      <c r="I71" s="18"/>
      <c r="J71" s="18"/>
      <c r="K71" s="18"/>
      <c r="L71" s="18"/>
      <c r="M71" s="1275"/>
      <c r="N71" s="1276"/>
      <c r="O71" s="1276"/>
      <c r="P71" s="1276"/>
      <c r="Q71" s="1276"/>
      <c r="R71" s="1276"/>
      <c r="S71" s="1276"/>
      <c r="T71" s="1276"/>
      <c r="U71" s="1277"/>
    </row>
    <row r="72" spans="2:21" ht="15.75" customHeight="1" thickBot="1" x14ac:dyDescent="0.25">
      <c r="B72" s="843" t="s">
        <v>258</v>
      </c>
      <c r="C72" s="18"/>
      <c r="D72" s="18"/>
      <c r="E72" s="18"/>
      <c r="F72" s="18"/>
      <c r="G72" s="18"/>
      <c r="H72" s="18"/>
      <c r="I72" s="18"/>
      <c r="J72" s="18"/>
      <c r="K72" s="18"/>
      <c r="L72" s="18"/>
      <c r="O72" s="1273" t="s">
        <v>259</v>
      </c>
      <c r="P72" s="1273"/>
      <c r="Q72" s="1273"/>
      <c r="R72" s="1273"/>
      <c r="S72" s="1273"/>
      <c r="T72" s="758"/>
      <c r="U72" s="887"/>
    </row>
    <row r="73" spans="2:21" ht="15.75" customHeight="1" x14ac:dyDescent="0.2">
      <c r="B73" s="35">
        <v>55</v>
      </c>
      <c r="C73" s="18" t="s">
        <v>260</v>
      </c>
      <c r="D73" s="18"/>
      <c r="E73" s="846">
        <v>1050</v>
      </c>
      <c r="F73" s="18"/>
      <c r="G73" s="18"/>
      <c r="H73" s="18"/>
      <c r="I73" s="18"/>
      <c r="J73" s="18"/>
      <c r="K73" s="18"/>
      <c r="L73" s="18"/>
      <c r="M73" s="850" t="s">
        <v>227</v>
      </c>
      <c r="N73" s="851" t="s">
        <v>144</v>
      </c>
      <c r="O73" s="852" t="s">
        <v>228</v>
      </c>
      <c r="P73" s="853" t="s">
        <v>229</v>
      </c>
      <c r="Q73" s="853" t="s">
        <v>230</v>
      </c>
      <c r="R73" s="854" t="s">
        <v>231</v>
      </c>
      <c r="S73" s="855" t="s">
        <v>232</v>
      </c>
      <c r="T73" s="18"/>
      <c r="U73" s="26"/>
    </row>
    <row r="74" spans="2:21" ht="15.75" customHeight="1" thickBot="1" x14ac:dyDescent="0.25">
      <c r="B74" s="847">
        <f>E73/B73</f>
        <v>19.09090909090909</v>
      </c>
      <c r="C74" s="18" t="s">
        <v>261</v>
      </c>
      <c r="D74" s="18"/>
      <c r="E74" s="18"/>
      <c r="F74" s="18"/>
      <c r="G74" s="18"/>
      <c r="H74" s="18"/>
      <c r="I74" s="18"/>
      <c r="J74" s="18"/>
      <c r="K74" s="18"/>
      <c r="L74" s="18"/>
      <c r="M74" s="998" t="s">
        <v>201</v>
      </c>
      <c r="N74" s="860" t="s">
        <v>195</v>
      </c>
      <c r="O74" s="860">
        <v>25.306999999999999</v>
      </c>
      <c r="P74" s="860">
        <f>O74*$P$62/4</f>
        <v>2317.734240153125</v>
      </c>
      <c r="Q74" s="860">
        <f>P74/P$67</f>
        <v>0.31749784111686646</v>
      </c>
      <c r="R74" s="856">
        <v>19051.099999999999</v>
      </c>
      <c r="S74" s="860">
        <v>1.37</v>
      </c>
      <c r="T74" s="18"/>
      <c r="U74" s="26"/>
    </row>
    <row r="75" spans="2:21" ht="15.75" customHeight="1" thickBot="1" x14ac:dyDescent="0.25">
      <c r="B75" s="843"/>
      <c r="C75" s="18"/>
      <c r="D75" s="18"/>
      <c r="E75" s="18"/>
      <c r="F75" s="18"/>
      <c r="G75" s="18"/>
      <c r="H75" s="18"/>
      <c r="I75" s="18"/>
      <c r="J75" s="18"/>
      <c r="K75" s="18"/>
      <c r="L75" s="18"/>
      <c r="M75" s="999" t="s">
        <v>203</v>
      </c>
      <c r="N75" s="860" t="s">
        <v>195</v>
      </c>
      <c r="O75" s="860">
        <v>27.855</v>
      </c>
      <c r="P75" s="860">
        <f t="shared" ref="P75:P80" si="20">O75*$P$62/4</f>
        <v>2551.0920796406253</v>
      </c>
      <c r="Q75" s="860">
        <f t="shared" ref="Q75:Q80" si="21">P75/P$67</f>
        <v>0.34946466844392127</v>
      </c>
      <c r="R75" s="860">
        <f>56.7*N61</f>
        <v>53741.394000000008</v>
      </c>
      <c r="S75" s="860">
        <v>6.15</v>
      </c>
      <c r="T75" s="18"/>
      <c r="U75" s="26"/>
    </row>
    <row r="76" spans="2:21" ht="15.75" customHeight="1" thickBot="1" x14ac:dyDescent="0.25">
      <c r="B76" s="844" t="s">
        <v>262</v>
      </c>
      <c r="C76" s="18"/>
      <c r="D76" s="18"/>
      <c r="E76" s="18"/>
      <c r="F76" s="18"/>
      <c r="G76" s="18"/>
      <c r="H76" s="18"/>
      <c r="I76" s="18"/>
      <c r="J76" s="18"/>
      <c r="K76" s="18"/>
      <c r="L76" s="18"/>
      <c r="M76" s="999" t="s">
        <v>205</v>
      </c>
      <c r="N76" s="860" t="s">
        <v>195</v>
      </c>
      <c r="O76" s="860">
        <v>31.783999999999999</v>
      </c>
      <c r="P76" s="860">
        <f t="shared" si="20"/>
        <v>2910.928402775</v>
      </c>
      <c r="Q76" s="860">
        <f t="shared" si="21"/>
        <v>0.39875731544863013</v>
      </c>
      <c r="R76" s="860">
        <f>155*N61</f>
        <v>146912.1</v>
      </c>
      <c r="S76" s="860">
        <v>9.16</v>
      </c>
      <c r="T76" s="18"/>
      <c r="U76" s="26"/>
    </row>
    <row r="77" spans="2:21" ht="15.75" customHeight="1" thickBot="1" x14ac:dyDescent="0.25">
      <c r="B77" s="7" t="s">
        <v>263</v>
      </c>
      <c r="C77" s="848" t="s">
        <v>264</v>
      </c>
      <c r="D77" s="18"/>
      <c r="E77" s="18"/>
      <c r="F77" s="18"/>
      <c r="G77" s="18"/>
      <c r="H77" s="18"/>
      <c r="I77" s="18"/>
      <c r="J77" s="18"/>
      <c r="K77" s="18"/>
      <c r="L77" s="18"/>
      <c r="M77" s="998" t="s">
        <v>207</v>
      </c>
      <c r="N77" s="860" t="s">
        <v>195</v>
      </c>
      <c r="O77" s="860">
        <v>27.6</v>
      </c>
      <c r="P77" s="860">
        <f t="shared" si="20"/>
        <v>2527.7379787500004</v>
      </c>
      <c r="Q77" s="860">
        <f t="shared" si="21"/>
        <v>0.34626547654109596</v>
      </c>
      <c r="R77" s="856">
        <f>3*N61</f>
        <v>2843.46</v>
      </c>
      <c r="S77" s="860">
        <v>0.24</v>
      </c>
      <c r="T77" s="18"/>
      <c r="U77" s="26"/>
    </row>
    <row r="78" spans="2:21" ht="15.75" customHeight="1" thickBot="1" x14ac:dyDescent="0.25">
      <c r="B78" s="844"/>
      <c r="C78" s="18"/>
      <c r="D78" s="18"/>
      <c r="E78" s="18"/>
      <c r="F78" s="18"/>
      <c r="G78" s="18"/>
      <c r="H78" s="18"/>
      <c r="I78" s="18"/>
      <c r="J78" s="18"/>
      <c r="K78" s="18"/>
      <c r="L78" s="18"/>
      <c r="M78" s="999" t="s">
        <v>209</v>
      </c>
      <c r="N78" s="860" t="s">
        <v>195</v>
      </c>
      <c r="O78" s="860">
        <v>22.97</v>
      </c>
      <c r="P78" s="860">
        <f t="shared" si="20"/>
        <v>2103.7007743437498</v>
      </c>
      <c r="Q78" s="860">
        <f t="shared" si="21"/>
        <v>0.28817818826626712</v>
      </c>
      <c r="R78" s="860">
        <f>N61*116.14</f>
        <v>110079.81480000001</v>
      </c>
      <c r="S78" s="860">
        <v>5.9</v>
      </c>
      <c r="T78" s="18"/>
      <c r="U78" s="26"/>
    </row>
    <row r="79" spans="2:21" ht="15.75" customHeight="1" thickBot="1" x14ac:dyDescent="0.25">
      <c r="B79" s="35">
        <v>22.7</v>
      </c>
      <c r="C79" s="18" t="s">
        <v>265</v>
      </c>
      <c r="D79" s="18"/>
      <c r="E79" s="18"/>
      <c r="F79" s="18"/>
      <c r="G79" s="18"/>
      <c r="H79" s="18"/>
      <c r="I79" s="18"/>
      <c r="J79" s="18"/>
      <c r="K79" s="18"/>
      <c r="L79" s="18"/>
      <c r="M79" s="999" t="s">
        <v>211</v>
      </c>
      <c r="N79" s="860" t="s">
        <v>195</v>
      </c>
      <c r="O79" s="860">
        <v>2.052</v>
      </c>
      <c r="P79" s="860">
        <f t="shared" si="20"/>
        <v>187.9318236375</v>
      </c>
      <c r="Q79" s="860">
        <f t="shared" si="21"/>
        <v>2.5744085429794519E-2</v>
      </c>
      <c r="R79" s="860">
        <f>72.1*N61</f>
        <v>68337.822</v>
      </c>
      <c r="S79" s="860">
        <v>3.76</v>
      </c>
      <c r="T79" s="18"/>
      <c r="U79" s="26"/>
    </row>
    <row r="80" spans="2:21" ht="15.75" customHeight="1" thickBot="1" x14ac:dyDescent="0.25">
      <c r="B80" s="35">
        <v>1.468</v>
      </c>
      <c r="C80" s="18" t="s">
        <v>266</v>
      </c>
      <c r="D80" s="18"/>
      <c r="E80" s="18"/>
      <c r="F80" s="18"/>
      <c r="G80" s="18"/>
      <c r="H80" s="18"/>
      <c r="I80" s="18"/>
      <c r="J80" s="18"/>
      <c r="K80" s="18"/>
      <c r="L80" s="18"/>
      <c r="M80" s="999" t="s">
        <v>208</v>
      </c>
      <c r="N80" s="860" t="s">
        <v>195</v>
      </c>
      <c r="O80" s="860">
        <v>39.47</v>
      </c>
      <c r="P80" s="860">
        <f t="shared" si="20"/>
        <v>3614.84847903125</v>
      </c>
      <c r="Q80" s="860">
        <f t="shared" si="21"/>
        <v>0.49518472315496576</v>
      </c>
      <c r="R80" s="860">
        <f>77.2*N61</f>
        <v>73171.704000000012</v>
      </c>
      <c r="S80" s="860">
        <v>3.1</v>
      </c>
      <c r="T80" s="18"/>
      <c r="U80" s="26"/>
    </row>
    <row r="81" spans="2:21" ht="15.75" customHeight="1" thickBot="1" x14ac:dyDescent="0.25">
      <c r="B81" s="35">
        <v>1</v>
      </c>
      <c r="C81" s="18" t="s">
        <v>267</v>
      </c>
      <c r="D81" s="18">
        <v>947.81700000000001</v>
      </c>
      <c r="E81" s="18" t="s">
        <v>268</v>
      </c>
      <c r="F81" s="18"/>
      <c r="G81" s="18"/>
      <c r="H81" s="18"/>
      <c r="I81" s="18"/>
      <c r="J81" s="18"/>
      <c r="K81" s="18"/>
      <c r="L81" s="18"/>
      <c r="M81" s="1000"/>
      <c r="N81" s="859"/>
      <c r="O81" s="859"/>
      <c r="P81" s="858"/>
      <c r="Q81" s="859"/>
      <c r="R81" s="858"/>
      <c r="S81" s="859"/>
      <c r="T81" s="18"/>
      <c r="U81" s="26"/>
    </row>
    <row r="82" spans="2:21" ht="15.75" customHeight="1" thickBot="1" x14ac:dyDescent="0.25">
      <c r="B82" s="35">
        <v>1</v>
      </c>
      <c r="C82" s="18" t="s">
        <v>269</v>
      </c>
      <c r="D82" s="18"/>
      <c r="E82" s="18">
        <v>0.26417200000000002</v>
      </c>
      <c r="F82" s="18" t="s">
        <v>197</v>
      </c>
      <c r="G82" s="18"/>
      <c r="H82" s="18"/>
      <c r="I82" s="18"/>
      <c r="J82" s="18"/>
      <c r="K82" s="18"/>
      <c r="L82" s="18"/>
      <c r="M82" s="1000"/>
      <c r="N82" s="859"/>
      <c r="O82" s="859"/>
      <c r="P82" s="858"/>
      <c r="Q82" s="859"/>
      <c r="R82" s="858"/>
      <c r="S82" s="859"/>
      <c r="T82" s="18"/>
      <c r="U82" s="26"/>
    </row>
    <row r="83" spans="2:21" ht="15.75" customHeight="1" thickBot="1" x14ac:dyDescent="0.25">
      <c r="B83" s="35">
        <f>B79*D81</f>
        <v>21515.445899999999</v>
      </c>
      <c r="C83" s="18" t="s">
        <v>270</v>
      </c>
      <c r="D83" s="18"/>
      <c r="E83" s="18"/>
      <c r="F83" s="18"/>
      <c r="G83" s="18"/>
      <c r="H83" s="18"/>
      <c r="I83" s="18"/>
      <c r="J83" s="18"/>
      <c r="K83" s="18"/>
      <c r="L83" s="18"/>
      <c r="M83" s="1000"/>
      <c r="N83" s="859"/>
      <c r="O83" s="859"/>
      <c r="P83" s="858"/>
      <c r="Q83" s="859"/>
      <c r="R83" s="858"/>
      <c r="S83" s="859"/>
      <c r="T83" s="18"/>
      <c r="U83" s="26"/>
    </row>
    <row r="84" spans="2:21" ht="15.75" customHeight="1" thickBot="1" x14ac:dyDescent="0.25">
      <c r="B84" s="35">
        <f>B83/1000*B80/E82</f>
        <v>119.56102305013398</v>
      </c>
      <c r="C84" s="18" t="s">
        <v>271</v>
      </c>
      <c r="D84" s="18"/>
      <c r="E84" s="18"/>
      <c r="F84" s="18"/>
      <c r="G84" s="18"/>
      <c r="H84" s="18"/>
      <c r="I84" s="18"/>
      <c r="J84" s="18"/>
      <c r="K84" s="18"/>
      <c r="L84" s="18"/>
      <c r="M84" s="1007"/>
      <c r="N84" s="1008"/>
      <c r="O84" s="1008"/>
      <c r="P84" s="1009"/>
      <c r="Q84" s="1008"/>
      <c r="R84" s="1009"/>
      <c r="S84" s="1008"/>
      <c r="T84" s="18"/>
      <c r="U84" s="26"/>
    </row>
    <row r="85" spans="2:21" ht="15.75" customHeight="1" x14ac:dyDescent="0.2">
      <c r="B85" s="7" t="s">
        <v>272</v>
      </c>
      <c r="C85" s="848" t="s">
        <v>273</v>
      </c>
      <c r="D85" s="18"/>
      <c r="E85" s="18"/>
      <c r="F85" s="18"/>
      <c r="G85" s="18"/>
      <c r="H85" s="18"/>
      <c r="I85" s="18"/>
      <c r="J85" s="18"/>
      <c r="K85" s="18"/>
      <c r="L85" s="18"/>
      <c r="M85" s="1268" t="s">
        <v>274</v>
      </c>
      <c r="N85" s="1269"/>
      <c r="O85" s="1269"/>
      <c r="P85" s="1269"/>
      <c r="Q85" s="1269"/>
      <c r="R85" s="1269"/>
      <c r="S85" s="1269"/>
      <c r="T85" s="1270"/>
      <c r="U85" s="1271"/>
    </row>
    <row r="86" spans="2:21" ht="15.75" customHeight="1" thickBot="1" x14ac:dyDescent="0.25">
      <c r="B86" s="35">
        <v>5.0000000000000001E-3</v>
      </c>
      <c r="C86" s="18" t="s">
        <v>275</v>
      </c>
      <c r="D86" s="18"/>
      <c r="E86" s="18"/>
      <c r="F86" s="18"/>
      <c r="G86" s="18"/>
      <c r="H86" s="18"/>
      <c r="I86" s="18"/>
      <c r="J86" s="18"/>
      <c r="K86" s="18"/>
      <c r="L86" s="18"/>
      <c r="M86" s="1268"/>
      <c r="N86" s="1269"/>
      <c r="O86" s="1269"/>
      <c r="P86" s="1269"/>
      <c r="Q86" s="1269"/>
      <c r="R86" s="1269"/>
      <c r="S86" s="1269"/>
      <c r="T86" s="1269"/>
      <c r="U86" s="1272"/>
    </row>
    <row r="87" spans="2:21" ht="15.75" customHeight="1" x14ac:dyDescent="0.2">
      <c r="B87" s="35">
        <v>1</v>
      </c>
      <c r="C87" s="18" t="s">
        <v>276</v>
      </c>
      <c r="D87" s="18"/>
      <c r="E87" s="18"/>
      <c r="F87" s="18"/>
      <c r="G87" s="18"/>
      <c r="H87" s="18"/>
      <c r="I87" s="18"/>
      <c r="J87" s="18"/>
      <c r="K87" s="18"/>
      <c r="L87" s="18"/>
      <c r="M87" s="743" t="s">
        <v>277</v>
      </c>
      <c r="N87" s="742" t="s">
        <v>278</v>
      </c>
      <c r="O87" s="742"/>
      <c r="P87" s="949"/>
      <c r="Q87" s="949"/>
      <c r="R87" s="949"/>
      <c r="S87" s="949"/>
      <c r="T87" s="949"/>
      <c r="U87" s="950"/>
    </row>
    <row r="88" spans="2:21" ht="15.75" customHeight="1" x14ac:dyDescent="0.2">
      <c r="B88" s="35">
        <f>B86*B87</f>
        <v>5.0000000000000001E-3</v>
      </c>
      <c r="C88" s="18" t="s">
        <v>279</v>
      </c>
      <c r="D88" s="18"/>
      <c r="E88" s="18"/>
      <c r="F88" s="18"/>
      <c r="G88" s="18"/>
      <c r="H88" s="18"/>
      <c r="I88" s="18"/>
      <c r="J88" s="18"/>
      <c r="K88" s="18"/>
      <c r="L88" s="18"/>
      <c r="M88" s="951"/>
      <c r="N88" s="597"/>
      <c r="O88" s="597"/>
      <c r="P88" s="597"/>
      <c r="Q88" s="597"/>
      <c r="R88" s="597"/>
      <c r="S88" s="597"/>
      <c r="T88" s="597"/>
      <c r="U88" s="952"/>
    </row>
    <row r="89" spans="2:21" ht="15.75" customHeight="1" x14ac:dyDescent="0.2">
      <c r="B89" s="35">
        <f>B88/E82*D81</f>
        <v>17.939391759913995</v>
      </c>
      <c r="C89" s="18" t="s">
        <v>271</v>
      </c>
      <c r="D89" s="18"/>
      <c r="E89" s="18"/>
      <c r="F89" s="18"/>
      <c r="G89" s="18"/>
      <c r="H89" s="18"/>
      <c r="I89" s="18"/>
      <c r="J89" s="18"/>
      <c r="K89" s="18"/>
      <c r="L89" s="18"/>
      <c r="M89" s="953" t="s">
        <v>280</v>
      </c>
      <c r="N89" s="45">
        <v>5</v>
      </c>
      <c r="O89" s="45" t="s">
        <v>281</v>
      </c>
      <c r="P89" s="597"/>
      <c r="Q89" s="597"/>
      <c r="R89" s="597"/>
      <c r="S89" s="597"/>
      <c r="T89" s="597"/>
      <c r="U89" s="952"/>
    </row>
    <row r="90" spans="2:21" ht="15.75" customHeight="1" x14ac:dyDescent="0.2">
      <c r="B90" s="35"/>
      <c r="C90" s="18"/>
      <c r="D90" s="18"/>
      <c r="E90" s="18"/>
      <c r="F90" s="18"/>
      <c r="G90" s="18"/>
      <c r="H90" s="18"/>
      <c r="I90" s="18"/>
      <c r="J90" s="18"/>
      <c r="K90" s="18"/>
      <c r="L90" s="18"/>
      <c r="M90" s="953" t="s">
        <v>282</v>
      </c>
      <c r="N90" s="45">
        <v>1</v>
      </c>
      <c r="O90" s="45" t="s">
        <v>283</v>
      </c>
      <c r="P90" s="597"/>
      <c r="Q90" s="597"/>
      <c r="R90" s="597"/>
      <c r="S90" s="597"/>
      <c r="T90" s="597"/>
      <c r="U90" s="952"/>
    </row>
    <row r="91" spans="2:21" ht="15.75" customHeight="1" x14ac:dyDescent="0.2">
      <c r="B91" s="35">
        <v>2.9999999999999997E-4</v>
      </c>
      <c r="C91" s="18" t="s">
        <v>284</v>
      </c>
      <c r="D91" s="18" t="s">
        <v>285</v>
      </c>
      <c r="E91" s="18"/>
      <c r="F91" s="18"/>
      <c r="G91" s="18"/>
      <c r="H91" s="18"/>
      <c r="I91" s="18"/>
      <c r="J91" s="18"/>
      <c r="K91" s="18"/>
      <c r="L91" s="18"/>
      <c r="M91" s="953" t="s">
        <v>286</v>
      </c>
      <c r="N91" s="45">
        <v>16680000</v>
      </c>
      <c r="O91" s="45" t="s">
        <v>287</v>
      </c>
      <c r="P91" s="597"/>
      <c r="Q91" s="597"/>
      <c r="R91" s="597"/>
      <c r="S91" s="597"/>
      <c r="T91" s="597"/>
      <c r="U91" s="952"/>
    </row>
    <row r="92" spans="2:21" ht="15.75" customHeight="1" x14ac:dyDescent="0.2">
      <c r="B92" s="35">
        <v>1</v>
      </c>
      <c r="C92" s="18" t="s">
        <v>288</v>
      </c>
      <c r="D92" s="18">
        <v>2.2046199999999998</v>
      </c>
      <c r="E92" s="18" t="s">
        <v>289</v>
      </c>
      <c r="F92" s="18"/>
      <c r="G92" s="18"/>
      <c r="H92" s="18"/>
      <c r="I92" s="18"/>
      <c r="J92" s="18"/>
      <c r="K92" s="18"/>
      <c r="L92" s="18"/>
      <c r="M92" s="696"/>
      <c r="N92" s="45">
        <v>2000000</v>
      </c>
      <c r="O92" s="45" t="s">
        <v>290</v>
      </c>
      <c r="P92" s="597"/>
      <c r="Q92" s="597"/>
      <c r="R92" s="597"/>
      <c r="S92" s="597"/>
      <c r="T92" s="597"/>
      <c r="U92" s="952"/>
    </row>
    <row r="93" spans="2:21" ht="15.75" customHeight="1" x14ac:dyDescent="0.2">
      <c r="B93" s="35">
        <f>B91*D92</f>
        <v>6.6138599999999992E-4</v>
      </c>
      <c r="C93" s="18" t="s">
        <v>291</v>
      </c>
      <c r="D93" s="18"/>
      <c r="E93" s="18"/>
      <c r="F93" s="18"/>
      <c r="G93" s="18"/>
      <c r="H93" s="18"/>
      <c r="I93" s="18"/>
      <c r="J93" s="18"/>
      <c r="K93" s="18"/>
      <c r="L93" s="18"/>
      <c r="M93" s="696"/>
      <c r="N93" s="45">
        <v>8.34</v>
      </c>
      <c r="O93" s="45" t="s">
        <v>292</v>
      </c>
      <c r="P93" s="597"/>
      <c r="Q93" s="597"/>
      <c r="R93" s="597"/>
      <c r="S93" s="597"/>
      <c r="T93" s="597"/>
      <c r="U93" s="952"/>
    </row>
    <row r="94" spans="2:21" ht="15.75" customHeight="1" x14ac:dyDescent="0.2">
      <c r="B94" s="35">
        <f>B93*B87/E82</f>
        <v>2.5036188543827503E-3</v>
      </c>
      <c r="C94" s="18" t="s">
        <v>293</v>
      </c>
      <c r="D94" s="18"/>
      <c r="E94" s="18"/>
      <c r="F94" s="18"/>
      <c r="G94" s="18"/>
      <c r="H94" s="18"/>
      <c r="I94" s="18"/>
      <c r="J94" s="18"/>
      <c r="K94" s="18"/>
      <c r="L94" s="18"/>
      <c r="M94" s="951"/>
      <c r="N94" s="597"/>
      <c r="O94" s="597"/>
      <c r="P94" s="597"/>
      <c r="Q94" s="597"/>
      <c r="R94" s="597"/>
      <c r="S94" s="597"/>
      <c r="T94" s="597"/>
      <c r="U94" s="952"/>
    </row>
    <row r="95" spans="2:21" ht="15.75" customHeight="1" x14ac:dyDescent="0.2">
      <c r="B95" s="35"/>
      <c r="C95" s="18"/>
      <c r="D95" s="18"/>
      <c r="E95" s="18"/>
      <c r="F95" s="18"/>
      <c r="G95" s="18"/>
      <c r="H95" s="18"/>
      <c r="I95" s="18"/>
      <c r="J95" s="18"/>
      <c r="K95" s="18"/>
      <c r="L95" s="18"/>
      <c r="M95" s="953" t="s">
        <v>294</v>
      </c>
      <c r="N95" s="45">
        <v>83400000</v>
      </c>
      <c r="O95" s="45" t="s">
        <v>295</v>
      </c>
      <c r="P95" s="597"/>
      <c r="Q95" s="597"/>
      <c r="R95" s="597"/>
      <c r="S95" s="597"/>
      <c r="T95" s="597"/>
      <c r="U95" s="952"/>
    </row>
    <row r="96" spans="2:21" ht="15.75" customHeight="1" x14ac:dyDescent="0.2">
      <c r="B96" s="35"/>
      <c r="C96" s="18"/>
      <c r="D96" s="18"/>
      <c r="E96" s="18"/>
      <c r="F96" s="18"/>
      <c r="G96" s="18"/>
      <c r="H96" s="18"/>
      <c r="I96" s="18"/>
      <c r="J96" s="18"/>
      <c r="K96" s="18"/>
      <c r="L96" s="18"/>
      <c r="M96" s="951"/>
      <c r="N96" s="597"/>
      <c r="O96" s="597"/>
      <c r="P96" s="597"/>
      <c r="Q96" s="597"/>
      <c r="R96" s="597"/>
      <c r="S96" s="597"/>
      <c r="T96" s="597"/>
      <c r="U96" s="952"/>
    </row>
    <row r="97" spans="2:21" ht="15.75" customHeight="1" x14ac:dyDescent="0.2">
      <c r="B97" s="35"/>
      <c r="C97" s="18"/>
      <c r="D97" s="18"/>
      <c r="E97" s="18"/>
      <c r="F97" s="18"/>
      <c r="G97" s="18"/>
      <c r="H97" s="18"/>
      <c r="I97" s="18"/>
      <c r="J97" s="18"/>
      <c r="K97" s="18"/>
      <c r="L97" s="18"/>
      <c r="M97" s="696" t="s">
        <v>296</v>
      </c>
      <c r="N97" s="45"/>
      <c r="O97" s="45"/>
      <c r="P97" s="597"/>
      <c r="Q97" s="597"/>
      <c r="R97" s="597"/>
      <c r="S97" s="597"/>
      <c r="T97" s="597"/>
      <c r="U97" s="952"/>
    </row>
    <row r="98" spans="2:21" ht="15.75" customHeight="1" x14ac:dyDescent="0.2">
      <c r="B98" s="35"/>
      <c r="C98" s="18"/>
      <c r="D98" s="18"/>
      <c r="E98" s="18"/>
      <c r="F98" s="18"/>
      <c r="G98" s="18"/>
      <c r="H98" s="18"/>
      <c r="I98" s="18"/>
      <c r="J98" s="18"/>
      <c r="K98" s="18"/>
      <c r="L98" s="18"/>
      <c r="M98" s="951"/>
      <c r="N98" s="597"/>
      <c r="O98" s="597"/>
      <c r="P98" s="597"/>
      <c r="Q98" s="597"/>
      <c r="R98" s="597"/>
      <c r="S98" s="597"/>
      <c r="T98" s="597"/>
      <c r="U98" s="952"/>
    </row>
    <row r="99" spans="2:21" ht="15.75" customHeight="1" x14ac:dyDescent="0.2">
      <c r="B99" s="35"/>
      <c r="C99" s="18"/>
      <c r="D99" s="18"/>
      <c r="E99" s="18"/>
      <c r="F99" s="18"/>
      <c r="G99" s="18"/>
      <c r="H99" s="18"/>
      <c r="I99" s="18"/>
      <c r="J99" s="18"/>
      <c r="K99" s="18"/>
      <c r="L99" s="18"/>
      <c r="M99" s="696">
        <v>970</v>
      </c>
      <c r="N99" s="45" t="s">
        <v>297</v>
      </c>
      <c r="O99" s="45" t="s">
        <v>298</v>
      </c>
      <c r="P99" s="597"/>
      <c r="Q99" s="597"/>
      <c r="R99" s="597"/>
      <c r="S99" s="597"/>
      <c r="T99" s="597"/>
      <c r="U99" s="952"/>
    </row>
    <row r="100" spans="2:21" ht="15.75" customHeight="1" x14ac:dyDescent="0.2">
      <c r="B100" s="35"/>
      <c r="C100" s="18"/>
      <c r="D100" s="18"/>
      <c r="E100" s="18"/>
      <c r="F100" s="18"/>
      <c r="G100" s="18"/>
      <c r="H100" s="18"/>
      <c r="I100" s="18"/>
      <c r="J100" s="18"/>
      <c r="K100" s="18"/>
      <c r="L100" s="18"/>
      <c r="M100" s="951"/>
      <c r="N100" s="597"/>
      <c r="O100" s="597"/>
      <c r="P100" s="597"/>
      <c r="Q100" s="597"/>
      <c r="R100" s="597"/>
      <c r="S100" s="597"/>
      <c r="T100" s="597"/>
      <c r="U100" s="952"/>
    </row>
    <row r="101" spans="2:21" ht="15.75" customHeight="1" x14ac:dyDescent="0.2">
      <c r="B101" s="35"/>
      <c r="C101" s="18"/>
      <c r="D101" s="18"/>
      <c r="E101" s="18"/>
      <c r="F101" s="18"/>
      <c r="G101" s="18"/>
      <c r="H101" s="18"/>
      <c r="I101" s="18"/>
      <c r="J101" s="18"/>
      <c r="K101" s="18"/>
      <c r="L101" s="18"/>
      <c r="M101" s="696">
        <v>85979.381443298975</v>
      </c>
      <c r="N101" s="45" t="s">
        <v>299</v>
      </c>
      <c r="O101" s="45"/>
      <c r="P101" s="597"/>
      <c r="Q101" s="597"/>
      <c r="R101" s="597"/>
      <c r="S101" s="597"/>
      <c r="T101" s="597"/>
      <c r="U101" s="952"/>
    </row>
    <row r="102" spans="2:21" ht="15.75" customHeight="1" x14ac:dyDescent="0.2">
      <c r="B102" s="35">
        <v>1.08</v>
      </c>
      <c r="C102" s="18" t="s">
        <v>300</v>
      </c>
      <c r="D102" s="18"/>
      <c r="E102" s="18"/>
      <c r="F102" s="18"/>
      <c r="G102" s="18"/>
      <c r="H102" s="18"/>
      <c r="I102" s="18"/>
      <c r="J102" s="18"/>
      <c r="K102" s="18"/>
      <c r="L102" s="18"/>
      <c r="M102" s="696">
        <v>10309.278350515464</v>
      </c>
      <c r="N102" s="45" t="s">
        <v>246</v>
      </c>
      <c r="O102" s="349"/>
      <c r="P102" s="597"/>
      <c r="Q102" s="597"/>
      <c r="R102" s="597"/>
      <c r="S102" s="597"/>
      <c r="T102" s="597"/>
      <c r="U102" s="952"/>
    </row>
    <row r="103" spans="2:21" ht="15.75" customHeight="1" x14ac:dyDescent="0.2">
      <c r="B103" s="35">
        <f>B102*D92</f>
        <v>2.3809895999999999</v>
      </c>
      <c r="C103" s="18" t="s">
        <v>301</v>
      </c>
      <c r="D103" s="18"/>
      <c r="E103" s="18"/>
      <c r="F103" s="18"/>
      <c r="G103" s="18"/>
      <c r="H103" s="18"/>
      <c r="I103" s="18"/>
      <c r="J103" s="18"/>
      <c r="K103" s="18"/>
      <c r="L103" s="18"/>
      <c r="M103" s="696">
        <v>0.65</v>
      </c>
      <c r="N103" s="45" t="s">
        <v>302</v>
      </c>
      <c r="O103" s="597"/>
      <c r="P103" s="597"/>
      <c r="Q103" s="597"/>
      <c r="R103" s="597"/>
      <c r="S103" s="597"/>
      <c r="T103" s="597"/>
      <c r="U103" s="952"/>
    </row>
    <row r="104" spans="2:21" ht="15.75" customHeight="1" x14ac:dyDescent="0.2">
      <c r="B104" s="35">
        <f>B103/1000*B80/E82</f>
        <v>1.3231124921641958E-2</v>
      </c>
      <c r="C104" s="18" t="s">
        <v>303</v>
      </c>
      <c r="D104" s="18"/>
      <c r="E104" s="18"/>
      <c r="F104" s="18"/>
      <c r="G104" s="18"/>
      <c r="H104" s="18"/>
      <c r="I104" s="18"/>
      <c r="J104" s="18"/>
      <c r="K104" s="18"/>
      <c r="L104" s="18"/>
      <c r="M104" s="951">
        <f>M102*(1+M103)</f>
        <v>17010.309278350516</v>
      </c>
      <c r="N104" s="597" t="s">
        <v>304</v>
      </c>
      <c r="O104" s="597"/>
      <c r="P104" s="597"/>
      <c r="Q104" s="597"/>
      <c r="R104" s="597"/>
      <c r="S104" s="597"/>
      <c r="T104" s="597"/>
      <c r="U104" s="952"/>
    </row>
    <row r="105" spans="2:21" ht="15.75" customHeight="1" x14ac:dyDescent="0.2">
      <c r="B105" s="35"/>
      <c r="C105" s="18"/>
      <c r="D105" s="18"/>
      <c r="E105" s="18"/>
      <c r="F105" s="18"/>
      <c r="G105" s="18"/>
      <c r="H105" s="18"/>
      <c r="I105" s="18"/>
      <c r="J105" s="18"/>
      <c r="K105" s="18"/>
      <c r="L105" s="18"/>
      <c r="M105" s="951"/>
      <c r="N105" s="597"/>
      <c r="O105" s="597"/>
      <c r="P105" s="597"/>
      <c r="Q105" s="597"/>
      <c r="R105" s="597"/>
      <c r="S105" s="597"/>
      <c r="T105" s="597"/>
      <c r="U105" s="952"/>
    </row>
    <row r="106" spans="2:21" x14ac:dyDescent="0.2">
      <c r="B106" s="38"/>
      <c r="C106" s="21"/>
      <c r="D106" s="21"/>
      <c r="E106" s="21"/>
      <c r="F106" s="21"/>
      <c r="G106" s="21"/>
      <c r="H106" s="21"/>
      <c r="I106" s="21"/>
      <c r="J106" s="21"/>
      <c r="K106" s="21"/>
      <c r="L106" s="21"/>
      <c r="M106" s="995"/>
      <c r="N106" s="21"/>
      <c r="O106" s="21"/>
      <c r="P106" s="21"/>
      <c r="Q106" s="21"/>
      <c r="R106" s="21"/>
      <c r="S106" s="21"/>
      <c r="T106" s="21"/>
      <c r="U106" s="697"/>
    </row>
    <row r="107" spans="2:21" x14ac:dyDescent="0.2">
      <c r="B107" s="1171" t="s">
        <v>124</v>
      </c>
      <c r="C107" s="1258"/>
      <c r="D107" s="1258"/>
      <c r="E107" s="1258"/>
      <c r="F107" s="1258"/>
      <c r="G107" s="1258"/>
      <c r="H107" s="1258"/>
      <c r="I107" s="965"/>
      <c r="J107" s="965"/>
      <c r="K107" s="944"/>
      <c r="L107" s="944"/>
      <c r="M107" s="944"/>
      <c r="N107" s="944"/>
      <c r="O107" s="944"/>
      <c r="P107" s="944"/>
      <c r="Q107" s="944"/>
      <c r="R107" s="944"/>
      <c r="S107" s="944"/>
      <c r="T107" s="944"/>
      <c r="U107" s="944"/>
    </row>
  </sheetData>
  <mergeCells count="36">
    <mergeCell ref="B44:T44"/>
    <mergeCell ref="M85:U86"/>
    <mergeCell ref="O72:S72"/>
    <mergeCell ref="M70:U71"/>
    <mergeCell ref="M45:U46"/>
    <mergeCell ref="M47:R47"/>
    <mergeCell ref="M58:O58"/>
    <mergeCell ref="P58:R58"/>
    <mergeCell ref="P65:R65"/>
    <mergeCell ref="B107:H107"/>
    <mergeCell ref="B30:T30"/>
    <mergeCell ref="B1:T1"/>
    <mergeCell ref="B2:T2"/>
    <mergeCell ref="B4:T4"/>
    <mergeCell ref="E3:H3"/>
    <mergeCell ref="B6:O6"/>
    <mergeCell ref="M7:T7"/>
    <mergeCell ref="M9:T9"/>
    <mergeCell ref="M8:T8"/>
    <mergeCell ref="C8:J8"/>
    <mergeCell ref="C9:J9"/>
    <mergeCell ref="C7:J7"/>
    <mergeCell ref="B13:O13"/>
    <mergeCell ref="B14:O14"/>
    <mergeCell ref="B3:D3"/>
    <mergeCell ref="I3:U3"/>
    <mergeCell ref="B33:T33"/>
    <mergeCell ref="B35:B42"/>
    <mergeCell ref="C35:T35"/>
    <mergeCell ref="C36:T36"/>
    <mergeCell ref="C37:T37"/>
    <mergeCell ref="C41:T41"/>
    <mergeCell ref="C38:T38"/>
    <mergeCell ref="C39:T39"/>
    <mergeCell ref="C40:T40"/>
    <mergeCell ref="C42:T42"/>
  </mergeCells>
  <hyperlinks>
    <hyperlink ref="B15" location="'MFI Embodied Energy Mini-Tool'!A1" display="Calculator Tool: Extracting Embodied Energy &amp; Carbon from MFI" xr:uid="{1D736F06-D365-44D4-9F9B-137D4A33A1D8}"/>
    <hyperlink ref="B31" location="'GWP Ref Tables'!A1" display="Reference Data: 10-Year GWP &amp; Combustion Emission Factors" xr:uid="{5B0EAA35-4474-44D7-BBC3-108AA0FBF3CD}"/>
    <hyperlink ref="E3:G3" location="FullDataLanding" display="Return to Planning Page" xr:uid="{3C7915B3-E690-4A47-9935-07DAAAF21093}"/>
    <hyperlink ref="B107:D107" location="FullDataLanding" display="Return to Planning Page" xr:uid="{0DA71CBB-729A-4EA6-BF8B-A4EA5B1A0C18}"/>
    <hyperlink ref="B49" r:id="rId1" xr:uid="{DD052448-C4F8-49C5-B295-4F6342BE93F0}"/>
    <hyperlink ref="B72" r:id="rId2" xr:uid="{896741D2-92E4-4391-811C-02B60F4618B7}"/>
    <hyperlink ref="C77" r:id="rId3" location=":~:text=The%20embodied%20energy%20is%20based,during%20the%20water%20treatment%20process." xr:uid="{AF5F1723-D26B-40DC-A9E1-2BC00ADDF736}"/>
    <hyperlink ref="C85" r:id="rId4" xr:uid="{F1E8F54F-A003-4FEA-8C0C-7643946DC731}"/>
    <hyperlink ref="B107:H107" location="FullDataLanding" display="Return to Home Page" xr:uid="{338854CA-0EB0-4BAC-B749-3EE6E108F1EA}"/>
  </hyperlinks>
  <pageMargins left="0.25" right="0.25" top="0.75" bottom="0.75" header="0.3" footer="0.3"/>
  <pageSetup scale="44" fitToHeight="0" orientation="portrait" r:id="rId5"/>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4AEB-3642-405F-B516-3A475066024E}">
  <sheetPr codeName="Sheet5">
    <tabColor rgb="FF00B050"/>
    <pageSetUpPr fitToPage="1"/>
  </sheetPr>
  <dimension ref="A1:I62"/>
  <sheetViews>
    <sheetView showGridLines="0" workbookViewId="0">
      <selection activeCell="E21" sqref="E21"/>
    </sheetView>
  </sheetViews>
  <sheetFormatPr baseColWidth="10" defaultColWidth="8.83203125" defaultRowHeight="15" x14ac:dyDescent="0.2"/>
  <cols>
    <col min="1" max="1" width="2.6640625" customWidth="1"/>
    <col min="2" max="2" width="36" customWidth="1"/>
    <col min="3" max="3" width="34" customWidth="1"/>
    <col min="4" max="4" width="16.5" customWidth="1"/>
    <col min="5" max="5" width="20.6640625" customWidth="1"/>
    <col min="6" max="7" width="18.6640625" customWidth="1"/>
    <col min="8" max="8" width="2.6640625" customWidth="1"/>
    <col min="9" max="9" width="3" customWidth="1"/>
  </cols>
  <sheetData>
    <row r="1" spans="1:9" ht="15.75" customHeight="1" x14ac:dyDescent="0.2">
      <c r="A1" s="5"/>
      <c r="B1" s="1159" t="s">
        <v>0</v>
      </c>
      <c r="C1" s="1160"/>
      <c r="D1" s="1160"/>
      <c r="E1" s="1160"/>
      <c r="F1" s="1160"/>
      <c r="G1" s="1160"/>
      <c r="H1" s="665"/>
      <c r="I1" s="5"/>
    </row>
    <row r="2" spans="1:9" ht="21" customHeight="1" x14ac:dyDescent="0.2">
      <c r="A2" s="5"/>
      <c r="B2" s="1161" t="s">
        <v>1</v>
      </c>
      <c r="C2" s="1162"/>
      <c r="D2" s="1162"/>
      <c r="E2" s="1162"/>
      <c r="F2" s="1162"/>
      <c r="G2" s="1162"/>
      <c r="H2" s="32"/>
      <c r="I2" s="5"/>
    </row>
    <row r="3" spans="1:9" ht="17" customHeight="1" x14ac:dyDescent="0.2">
      <c r="A3" s="5"/>
      <c r="B3" s="713"/>
      <c r="C3" s="1206" t="s">
        <v>126</v>
      </c>
      <c r="D3" s="1169"/>
      <c r="E3" s="1170"/>
      <c r="F3" s="714"/>
      <c r="G3" s="714"/>
      <c r="H3" s="716"/>
      <c r="I3" s="5"/>
    </row>
    <row r="4" spans="1:9" ht="18" x14ac:dyDescent="0.2">
      <c r="A4" s="5"/>
      <c r="B4" s="1163" t="s">
        <v>305</v>
      </c>
      <c r="C4" s="1165"/>
      <c r="D4" s="1165"/>
      <c r="E4" s="1165"/>
      <c r="F4" s="1165"/>
      <c r="G4" s="1165"/>
      <c r="H4" s="648"/>
      <c r="I4" s="5"/>
    </row>
    <row r="5" spans="1:9" ht="15.75" customHeight="1" x14ac:dyDescent="0.2">
      <c r="A5" s="5"/>
      <c r="B5" s="603"/>
      <c r="C5" s="597"/>
      <c r="D5" s="597"/>
      <c r="E5" s="597"/>
      <c r="F5" s="597"/>
      <c r="G5" s="597"/>
      <c r="H5" s="6"/>
      <c r="I5" s="5"/>
    </row>
    <row r="6" spans="1:9" ht="27" customHeight="1" x14ac:dyDescent="0.2">
      <c r="A6" s="5"/>
      <c r="B6" s="1188" t="s">
        <v>306</v>
      </c>
      <c r="C6" s="1189"/>
      <c r="D6" s="1189"/>
      <c r="E6" s="1189"/>
      <c r="F6" s="1189"/>
      <c r="G6" s="1189"/>
      <c r="H6" s="6"/>
      <c r="I6" s="5"/>
    </row>
    <row r="7" spans="1:9" ht="15.75" customHeight="1" x14ac:dyDescent="0.2">
      <c r="A7" s="5"/>
      <c r="B7" s="7"/>
      <c r="C7" s="18"/>
      <c r="D7" s="18"/>
      <c r="E7" s="18"/>
      <c r="F7" s="18"/>
      <c r="G7" s="18"/>
      <c r="H7" s="6"/>
      <c r="I7" s="5"/>
    </row>
    <row r="8" spans="1:9" s="50" customFormat="1" ht="14" x14ac:dyDescent="0.2">
      <c r="A8" s="37"/>
      <c r="B8" s="47" t="s">
        <v>307</v>
      </c>
      <c r="C8" s="107">
        <f>2*365*10000</f>
        <v>7300000</v>
      </c>
      <c r="D8" s="40" t="s">
        <v>308</v>
      </c>
      <c r="E8" s="68" t="str">
        <f>IF(EndUse_Product&lt;&gt;""," of "&amp;EndUse_Product&amp;" per year","of (end-use product not yet defined) per year")</f>
        <v xml:space="preserve"> of Cooled Waste Water per year</v>
      </c>
      <c r="F8" s="41"/>
      <c r="H8" s="51"/>
      <c r="I8" s="37"/>
    </row>
    <row r="9" spans="1:9" ht="15.75" customHeight="1" x14ac:dyDescent="0.2">
      <c r="A9" s="5"/>
      <c r="B9" s="55"/>
      <c r="C9" s="21" t="s">
        <v>309</v>
      </c>
      <c r="D9" s="21" t="s">
        <v>167</v>
      </c>
      <c r="E9" s="44"/>
      <c r="F9" s="44"/>
      <c r="G9" s="18"/>
      <c r="H9" s="6"/>
      <c r="I9" s="5"/>
    </row>
    <row r="10" spans="1:9" ht="15.75" customHeight="1" x14ac:dyDescent="0.2">
      <c r="A10" s="5"/>
      <c r="B10" s="55"/>
      <c r="C10" s="21"/>
      <c r="D10" s="21"/>
      <c r="E10" s="44"/>
      <c r="F10" s="44"/>
      <c r="G10" s="18"/>
      <c r="H10" s="6"/>
      <c r="I10" s="5"/>
    </row>
    <row r="11" spans="1:9" ht="15.75" customHeight="1" x14ac:dyDescent="0.2">
      <c r="A11" s="5"/>
      <c r="B11" s="7" t="s">
        <v>310</v>
      </c>
      <c r="C11" s="21"/>
      <c r="D11" s="21"/>
      <c r="E11" s="44"/>
      <c r="F11" s="44"/>
      <c r="G11" s="18"/>
      <c r="H11" s="6"/>
      <c r="I11" s="5"/>
    </row>
    <row r="12" spans="1:9" ht="34.5" customHeight="1" x14ac:dyDescent="0.2">
      <c r="A12" s="5"/>
      <c r="B12" s="46" t="s">
        <v>311</v>
      </c>
      <c r="C12" s="1207"/>
      <c r="D12" s="1208"/>
      <c r="E12" s="1208"/>
      <c r="F12" s="1209"/>
      <c r="G12" s="18"/>
      <c r="H12" s="6"/>
      <c r="I12" s="5"/>
    </row>
    <row r="13" spans="1:9" ht="15.75" customHeight="1" x14ac:dyDescent="0.2">
      <c r="A13" s="5"/>
      <c r="B13" s="55"/>
      <c r="C13" s="21"/>
      <c r="D13" s="21"/>
      <c r="E13" s="44"/>
      <c r="F13" s="44"/>
      <c r="G13" s="18"/>
      <c r="H13" s="6"/>
      <c r="I13" s="5"/>
    </row>
    <row r="14" spans="1:9" ht="18" x14ac:dyDescent="0.2">
      <c r="A14" s="5"/>
      <c r="B14" s="1163" t="s">
        <v>312</v>
      </c>
      <c r="C14" s="1165"/>
      <c r="D14" s="1165"/>
      <c r="E14" s="1165"/>
      <c r="F14" s="1165"/>
      <c r="G14" s="1165"/>
      <c r="H14" s="648"/>
      <c r="I14" s="5"/>
    </row>
    <row r="15" spans="1:9" ht="15.75" customHeight="1" x14ac:dyDescent="0.2">
      <c r="A15" s="5"/>
      <c r="B15" s="603"/>
      <c r="C15" s="597"/>
      <c r="D15" s="597"/>
      <c r="E15" s="597"/>
      <c r="F15" s="597"/>
      <c r="G15" s="597"/>
      <c r="H15" s="6"/>
      <c r="I15" s="5"/>
    </row>
    <row r="16" spans="1:9" ht="96" customHeight="1" x14ac:dyDescent="0.2">
      <c r="A16" s="5"/>
      <c r="B16" s="1188" t="s">
        <v>313</v>
      </c>
      <c r="C16" s="1189"/>
      <c r="D16" s="1189"/>
      <c r="E16" s="1189"/>
      <c r="F16" s="1189"/>
      <c r="G16" s="1189"/>
      <c r="H16" s="6"/>
      <c r="I16" s="5"/>
    </row>
    <row r="17" spans="1:9" ht="15.75" customHeight="1" x14ac:dyDescent="0.2">
      <c r="A17" s="5"/>
      <c r="B17" s="603"/>
      <c r="C17" s="597"/>
      <c r="D17" s="597"/>
      <c r="E17" s="597"/>
      <c r="F17" s="597"/>
      <c r="G17" s="597"/>
      <c r="H17" s="6"/>
      <c r="I17" s="5"/>
    </row>
    <row r="18" spans="1:9" ht="19.5" customHeight="1" x14ac:dyDescent="0.2">
      <c r="A18" s="5"/>
      <c r="B18" s="53"/>
      <c r="C18" s="1290" t="s">
        <v>314</v>
      </c>
      <c r="D18" s="1292" t="s">
        <v>315</v>
      </c>
      <c r="E18" s="59" t="s">
        <v>316</v>
      </c>
      <c r="F18" s="52" t="s">
        <v>317</v>
      </c>
      <c r="G18" s="18"/>
      <c r="H18" s="6"/>
      <c r="I18" s="5"/>
    </row>
    <row r="19" spans="1:9" ht="57" x14ac:dyDescent="0.2">
      <c r="A19" s="5"/>
      <c r="B19" s="53"/>
      <c r="C19" s="1291"/>
      <c r="D19" s="1293"/>
      <c r="E19" s="54" t="s">
        <v>318</v>
      </c>
      <c r="F19" s="54" t="s">
        <v>319</v>
      </c>
      <c r="G19" s="18"/>
      <c r="H19" s="6"/>
      <c r="I19" s="5"/>
    </row>
    <row r="20" spans="1:9" ht="18" x14ac:dyDescent="0.2">
      <c r="A20" s="5"/>
      <c r="B20" s="47" t="s">
        <v>320</v>
      </c>
      <c r="C20" s="14" t="str">
        <f>New_Technology</f>
        <v>Waste Heat Recovery (Heat Pump)</v>
      </c>
      <c r="D20" s="61" t="str">
        <f>New_Technology_Apps</f>
        <v>Cooled Waste Water</v>
      </c>
      <c r="E20" s="233">
        <v>0</v>
      </c>
      <c r="F20" s="233">
        <v>1</v>
      </c>
      <c r="G20" s="18"/>
      <c r="H20" s="6"/>
      <c r="I20" s="5"/>
    </row>
    <row r="21" spans="1:9" ht="18" x14ac:dyDescent="0.2">
      <c r="A21" s="5"/>
      <c r="B21" s="47" t="s">
        <v>321</v>
      </c>
      <c r="C21" s="14" t="str">
        <f>Commercial_Benchmark</f>
        <v>Evaporative Condenser</v>
      </c>
      <c r="D21" s="61" t="str">
        <f>Benchmark_Apps</f>
        <v>Cooled Waste Water</v>
      </c>
      <c r="E21" s="233">
        <v>1</v>
      </c>
      <c r="F21" s="233">
        <v>0</v>
      </c>
      <c r="G21" s="18"/>
      <c r="H21" s="6"/>
      <c r="I21" s="5"/>
    </row>
    <row r="22" spans="1:9" ht="18" x14ac:dyDescent="0.2">
      <c r="A22" s="5"/>
      <c r="B22" s="47" t="s">
        <v>322</v>
      </c>
      <c r="C22" s="14">
        <f>Other_Competing</f>
        <v>0</v>
      </c>
      <c r="D22" s="61">
        <f>Other_Competing_Apps</f>
        <v>0</v>
      </c>
      <c r="E22" s="233"/>
      <c r="F22" s="233"/>
      <c r="G22" s="18"/>
      <c r="H22" s="6"/>
      <c r="I22" s="5"/>
    </row>
    <row r="23" spans="1:9" ht="18" x14ac:dyDescent="0.2">
      <c r="A23" s="5"/>
      <c r="B23" s="47"/>
      <c r="C23" s="60"/>
      <c r="D23" s="62" t="s">
        <v>323</v>
      </c>
      <c r="E23" s="63">
        <f>SUM(E20:E22)</f>
        <v>1</v>
      </c>
      <c r="F23" s="63">
        <f>SUM(F20:F22)</f>
        <v>1</v>
      </c>
      <c r="G23" s="18"/>
      <c r="H23" s="6"/>
      <c r="I23" s="5"/>
    </row>
    <row r="24" spans="1:9" ht="15.75" customHeight="1" x14ac:dyDescent="0.2">
      <c r="A24" s="5"/>
      <c r="B24" s="47"/>
      <c r="C24" s="24"/>
      <c r="D24" s="58"/>
      <c r="E24" s="69"/>
      <c r="F24" s="69"/>
      <c r="G24" s="18"/>
      <c r="H24" s="6"/>
      <c r="I24" s="5"/>
    </row>
    <row r="25" spans="1:9" ht="31.5" customHeight="1" x14ac:dyDescent="0.2">
      <c r="A25" s="5"/>
      <c r="B25" s="1188" t="s">
        <v>324</v>
      </c>
      <c r="C25" s="1189"/>
      <c r="D25" s="1189"/>
      <c r="E25" s="1189"/>
      <c r="F25" s="1189"/>
      <c r="G25" s="1189"/>
      <c r="H25" s="6"/>
      <c r="I25" s="5"/>
    </row>
    <row r="26" spans="1:9" ht="15.75" customHeight="1" x14ac:dyDescent="0.2">
      <c r="A26" s="5"/>
      <c r="B26" s="47"/>
      <c r="C26" s="24"/>
      <c r="D26" s="24"/>
      <c r="E26" s="24"/>
      <c r="F26" s="18"/>
      <c r="G26" s="18"/>
      <c r="H26" s="6"/>
      <c r="I26" s="5"/>
    </row>
    <row r="27" spans="1:9" ht="18" x14ac:dyDescent="0.2">
      <c r="A27" s="5"/>
      <c r="B27" s="1163" t="s">
        <v>122</v>
      </c>
      <c r="C27" s="1165"/>
      <c r="D27" s="1165"/>
      <c r="E27" s="1165"/>
      <c r="F27" s="1165"/>
      <c r="G27" s="1165"/>
      <c r="H27" s="34"/>
      <c r="I27" s="5"/>
    </row>
    <row r="28" spans="1:9" ht="15.75" customHeight="1" x14ac:dyDescent="0.2">
      <c r="A28" s="5"/>
      <c r="B28" s="603"/>
      <c r="C28" s="39"/>
      <c r="D28" s="39"/>
      <c r="E28" s="39"/>
      <c r="F28" s="39"/>
      <c r="G28" s="39"/>
      <c r="H28" s="1"/>
      <c r="I28" s="5"/>
    </row>
    <row r="29" spans="1:9" ht="15.75" customHeight="1" x14ac:dyDescent="0.2">
      <c r="A29" s="5"/>
      <c r="B29" s="1145" t="s">
        <v>123</v>
      </c>
      <c r="C29" s="1207"/>
      <c r="D29" s="1208"/>
      <c r="E29" s="1208"/>
      <c r="F29" s="1208"/>
      <c r="G29" s="1209"/>
      <c r="H29" s="33"/>
      <c r="I29" s="5"/>
    </row>
    <row r="30" spans="1:9" x14ac:dyDescent="0.2">
      <c r="A30" s="5"/>
      <c r="B30" s="1145"/>
      <c r="C30" s="1207"/>
      <c r="D30" s="1208"/>
      <c r="E30" s="1208"/>
      <c r="F30" s="1208"/>
      <c r="G30" s="1209"/>
      <c r="H30" s="666"/>
      <c r="I30" s="5"/>
    </row>
    <row r="31" spans="1:9" x14ac:dyDescent="0.2">
      <c r="A31" s="5"/>
      <c r="B31" s="1145"/>
      <c r="C31" s="1207"/>
      <c r="D31" s="1208"/>
      <c r="E31" s="1208"/>
      <c r="F31" s="1208"/>
      <c r="G31" s="1209"/>
      <c r="H31" s="666"/>
      <c r="I31" s="5"/>
    </row>
    <row r="32" spans="1:9" x14ac:dyDescent="0.2">
      <c r="A32" s="5"/>
      <c r="B32" s="1145"/>
      <c r="C32" s="1207"/>
      <c r="D32" s="1208"/>
      <c r="E32" s="1208"/>
      <c r="F32" s="1208"/>
      <c r="G32" s="1209"/>
      <c r="H32" s="666"/>
      <c r="I32" s="5"/>
    </row>
    <row r="33" spans="1:9" x14ac:dyDescent="0.2">
      <c r="A33" s="5"/>
      <c r="B33" s="1145"/>
      <c r="C33" s="1207"/>
      <c r="D33" s="1208"/>
      <c r="E33" s="1208"/>
      <c r="F33" s="1208"/>
      <c r="G33" s="1209"/>
      <c r="H33" s="666"/>
      <c r="I33" s="5"/>
    </row>
    <row r="34" spans="1:9" x14ac:dyDescent="0.2">
      <c r="A34" s="5"/>
      <c r="B34" s="2"/>
      <c r="C34" s="3"/>
      <c r="D34" s="3"/>
      <c r="E34" s="3"/>
      <c r="F34" s="3"/>
      <c r="G34" s="3"/>
      <c r="H34" s="4"/>
      <c r="I34" s="5"/>
    </row>
    <row r="35" spans="1:9" ht="18" x14ac:dyDescent="0.2">
      <c r="B35" s="1163" t="s">
        <v>170</v>
      </c>
      <c r="C35" s="1165"/>
      <c r="D35" s="1165"/>
      <c r="E35" s="1165"/>
      <c r="F35" s="1165"/>
      <c r="G35" s="1165"/>
      <c r="H35" s="34"/>
    </row>
    <row r="36" spans="1:9" ht="15.75" customHeight="1" x14ac:dyDescent="0.2">
      <c r="B36" s="7" t="s">
        <v>171</v>
      </c>
      <c r="C36" s="597"/>
      <c r="D36" s="597"/>
      <c r="E36" s="597"/>
      <c r="F36" s="597"/>
      <c r="G36" s="597"/>
      <c r="H36" s="1"/>
    </row>
    <row r="37" spans="1:9" ht="15.75" customHeight="1" x14ac:dyDescent="0.2">
      <c r="B37" s="7"/>
      <c r="C37" s="18"/>
      <c r="D37" s="18"/>
      <c r="E37" s="18"/>
      <c r="F37" s="18"/>
      <c r="G37" s="18"/>
      <c r="H37" s="26"/>
    </row>
    <row r="38" spans="1:9" ht="15.75" customHeight="1" x14ac:dyDescent="0.2">
      <c r="B38" s="7" t="s">
        <v>325</v>
      </c>
      <c r="C38" s="18"/>
      <c r="D38" s="18"/>
      <c r="E38" s="18"/>
      <c r="F38" s="18"/>
      <c r="G38" s="18"/>
      <c r="H38" s="26"/>
    </row>
    <row r="39" spans="1:9" ht="15.75" customHeight="1" x14ac:dyDescent="0.2">
      <c r="B39" s="7"/>
      <c r="C39" s="18"/>
      <c r="D39" s="18"/>
      <c r="E39" s="18"/>
      <c r="F39" s="18"/>
      <c r="G39" s="18"/>
      <c r="H39" s="26"/>
    </row>
    <row r="40" spans="1:9" ht="15.75" customHeight="1" x14ac:dyDescent="0.2">
      <c r="B40" s="7"/>
      <c r="C40" s="18"/>
      <c r="D40" s="18"/>
      <c r="E40" s="18"/>
      <c r="F40" s="18"/>
      <c r="G40" s="18"/>
      <c r="H40" s="26"/>
    </row>
    <row r="41" spans="1:9" ht="15.75" customHeight="1" x14ac:dyDescent="0.2">
      <c r="B41" s="7"/>
      <c r="C41" s="18"/>
      <c r="D41" s="18"/>
      <c r="E41" s="18"/>
      <c r="F41" s="18"/>
      <c r="G41" s="18"/>
      <c r="H41" s="26"/>
    </row>
    <row r="42" spans="1:9" ht="15.75" customHeight="1" x14ac:dyDescent="0.2">
      <c r="B42" s="7"/>
      <c r="C42" s="18"/>
      <c r="D42" s="18"/>
      <c r="E42" s="18"/>
      <c r="F42" s="18"/>
      <c r="G42" s="18"/>
      <c r="H42" s="26"/>
    </row>
    <row r="43" spans="1:9" ht="15.75" customHeight="1" x14ac:dyDescent="0.2">
      <c r="B43" s="7"/>
      <c r="C43" s="18"/>
      <c r="D43" s="18"/>
      <c r="E43" s="18"/>
      <c r="F43" s="18"/>
      <c r="G43" s="18"/>
      <c r="H43" s="26"/>
    </row>
    <row r="44" spans="1:9" ht="15.75" customHeight="1" x14ac:dyDescent="0.2">
      <c r="B44" s="7"/>
      <c r="C44" s="18"/>
      <c r="D44" s="18"/>
      <c r="E44" s="18"/>
      <c r="F44" s="18"/>
      <c r="G44" s="18"/>
      <c r="H44" s="26"/>
    </row>
    <row r="45" spans="1:9" ht="15.75" customHeight="1" x14ac:dyDescent="0.2">
      <c r="B45" s="7"/>
      <c r="C45" s="18"/>
      <c r="D45" s="18"/>
      <c r="E45" s="18"/>
      <c r="F45" s="18"/>
      <c r="G45" s="18"/>
      <c r="H45" s="26"/>
    </row>
    <row r="46" spans="1:9" ht="15.75" customHeight="1" x14ac:dyDescent="0.2">
      <c r="B46" s="7"/>
      <c r="C46" s="18"/>
      <c r="D46" s="18"/>
      <c r="E46" s="18"/>
      <c r="F46" s="18"/>
      <c r="G46" s="18"/>
      <c r="H46" s="26"/>
    </row>
    <row r="47" spans="1:9" ht="15.75" customHeight="1" x14ac:dyDescent="0.2">
      <c r="B47" s="7"/>
      <c r="C47" s="18"/>
      <c r="D47" s="18"/>
      <c r="E47" s="18"/>
      <c r="F47" s="18"/>
      <c r="G47" s="18"/>
      <c r="H47" s="26"/>
    </row>
    <row r="48" spans="1:9" ht="15.75" customHeight="1" x14ac:dyDescent="0.2">
      <c r="B48" s="7"/>
      <c r="C48" s="18"/>
      <c r="D48" s="18"/>
      <c r="E48" s="18"/>
      <c r="F48" s="18"/>
      <c r="G48" s="18"/>
      <c r="H48" s="26"/>
    </row>
    <row r="49" spans="2:8" ht="15.75" customHeight="1" x14ac:dyDescent="0.2">
      <c r="B49" s="7"/>
      <c r="C49" s="18"/>
      <c r="D49" s="18"/>
      <c r="E49" s="18"/>
      <c r="F49" s="18"/>
      <c r="G49" s="18"/>
      <c r="H49" s="26"/>
    </row>
    <row r="50" spans="2:8" ht="15.75" customHeight="1" x14ac:dyDescent="0.2">
      <c r="B50" s="7"/>
      <c r="C50" s="18"/>
      <c r="D50" s="18"/>
      <c r="E50" s="18"/>
      <c r="F50" s="18"/>
      <c r="G50" s="18"/>
      <c r="H50" s="26"/>
    </row>
    <row r="51" spans="2:8" ht="15.75" customHeight="1" x14ac:dyDescent="0.2">
      <c r="B51" s="7"/>
      <c r="C51" s="18"/>
      <c r="D51" s="18"/>
      <c r="E51" s="18"/>
      <c r="F51" s="18"/>
      <c r="G51" s="18"/>
      <c r="H51" s="26"/>
    </row>
    <row r="52" spans="2:8" ht="15.75" customHeight="1" x14ac:dyDescent="0.2">
      <c r="B52" s="7"/>
      <c r="C52" s="18"/>
      <c r="D52" s="18"/>
      <c r="E52" s="18"/>
      <c r="F52" s="18"/>
      <c r="G52" s="18"/>
      <c r="H52" s="26"/>
    </row>
    <row r="53" spans="2:8" ht="15.75" customHeight="1" x14ac:dyDescent="0.2">
      <c r="B53" s="7"/>
      <c r="C53" s="18"/>
      <c r="D53" s="18"/>
      <c r="E53" s="18"/>
      <c r="F53" s="18"/>
      <c r="G53" s="18"/>
      <c r="H53" s="26"/>
    </row>
    <row r="54" spans="2:8" ht="15.75" customHeight="1" x14ac:dyDescent="0.2">
      <c r="B54" s="7"/>
      <c r="C54" s="18"/>
      <c r="D54" s="18"/>
      <c r="E54" s="18"/>
      <c r="F54" s="18"/>
      <c r="G54" s="18"/>
      <c r="H54" s="26"/>
    </row>
    <row r="55" spans="2:8" ht="15.75" customHeight="1" x14ac:dyDescent="0.2">
      <c r="B55" s="7"/>
      <c r="C55" s="18"/>
      <c r="D55" s="18"/>
      <c r="E55" s="18"/>
      <c r="F55" s="18"/>
      <c r="G55" s="18"/>
      <c r="H55" s="26"/>
    </row>
    <row r="56" spans="2:8" ht="15.75" customHeight="1" x14ac:dyDescent="0.2">
      <c r="B56" s="7"/>
      <c r="C56" s="18"/>
      <c r="D56" s="18"/>
      <c r="E56" s="18"/>
      <c r="F56" s="18"/>
      <c r="G56" s="18"/>
      <c r="H56" s="26"/>
    </row>
    <row r="57" spans="2:8" ht="15.75" customHeight="1" x14ac:dyDescent="0.2">
      <c r="B57" s="7"/>
      <c r="C57" s="18"/>
      <c r="D57" s="18"/>
      <c r="E57" s="18"/>
      <c r="F57" s="18"/>
      <c r="G57" s="18"/>
      <c r="H57" s="26"/>
    </row>
    <row r="58" spans="2:8" ht="15.75" customHeight="1" x14ac:dyDescent="0.2">
      <c r="B58" s="7"/>
      <c r="C58" s="18"/>
      <c r="D58" s="18"/>
      <c r="E58" s="18"/>
      <c r="F58" s="18"/>
      <c r="G58" s="18"/>
      <c r="H58" s="26"/>
    </row>
    <row r="59" spans="2:8" ht="15.75" customHeight="1" x14ac:dyDescent="0.2">
      <c r="B59" s="7"/>
      <c r="C59" s="18"/>
      <c r="D59" s="18"/>
      <c r="E59" s="18"/>
      <c r="F59" s="18"/>
      <c r="G59" s="18"/>
      <c r="H59" s="26"/>
    </row>
    <row r="60" spans="2:8" ht="15.75" customHeight="1" x14ac:dyDescent="0.2">
      <c r="B60" s="7"/>
      <c r="C60" s="21"/>
      <c r="D60" s="234"/>
      <c r="E60" s="18"/>
      <c r="F60" s="18"/>
      <c r="G60" s="18"/>
      <c r="H60" s="26"/>
    </row>
    <row r="61" spans="2:8" x14ac:dyDescent="0.2">
      <c r="B61" s="141"/>
      <c r="C61" s="9"/>
      <c r="D61" s="9"/>
      <c r="E61" s="9"/>
      <c r="F61" s="9"/>
      <c r="G61" s="9"/>
      <c r="H61" s="27"/>
    </row>
    <row r="62" spans="2:8" x14ac:dyDescent="0.2">
      <c r="B62" s="1206" t="s">
        <v>124</v>
      </c>
      <c r="C62" s="1169"/>
      <c r="D62" s="1169"/>
      <c r="E62" s="1169"/>
      <c r="F62" s="1169"/>
      <c r="G62" s="1169"/>
      <c r="H62" s="1289"/>
    </row>
  </sheetData>
  <mergeCells count="20">
    <mergeCell ref="B1:G1"/>
    <mergeCell ref="B2:G2"/>
    <mergeCell ref="B4:G4"/>
    <mergeCell ref="B27:G27"/>
    <mergeCell ref="C3:E3"/>
    <mergeCell ref="B16:G16"/>
    <mergeCell ref="B6:G6"/>
    <mergeCell ref="B25:G25"/>
    <mergeCell ref="C18:C19"/>
    <mergeCell ref="D18:D19"/>
    <mergeCell ref="C12:F12"/>
    <mergeCell ref="B14:G14"/>
    <mergeCell ref="C30:G30"/>
    <mergeCell ref="C31:G31"/>
    <mergeCell ref="C32:G32"/>
    <mergeCell ref="C33:G33"/>
    <mergeCell ref="B62:H62"/>
    <mergeCell ref="B35:G35"/>
    <mergeCell ref="B29:B33"/>
    <mergeCell ref="C29:G29"/>
  </mergeCells>
  <hyperlinks>
    <hyperlink ref="C3:E3" location="FullDataLanding" display="Return to Planning Page" xr:uid="{B4D70755-027D-4B4B-B18A-A5A9D70A7941}"/>
    <hyperlink ref="B62:D62" location="FullDataLanding" display="Return to Planning Page" xr:uid="{92C8CF5A-3F64-457E-B3DF-2C6205EC064F}"/>
    <hyperlink ref="B62:G62" location="FullDataLanding" display="Return to Home Page" xr:uid="{AD017782-88AC-4744-B055-80A74BFC2F37}"/>
  </hyperlinks>
  <pageMargins left="0.25" right="0.25" top="0.75" bottom="0.75" header="0.3" footer="0.3"/>
  <pageSetup scale="6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9969C-4A4C-428D-AA70-E001B552CB1A}">
  <sheetPr>
    <tabColor rgb="FF00B050"/>
  </sheetPr>
  <dimension ref="A1:V103"/>
  <sheetViews>
    <sheetView showGridLines="0" workbookViewId="0">
      <selection activeCell="I34" sqref="I34"/>
    </sheetView>
  </sheetViews>
  <sheetFormatPr baseColWidth="10" defaultColWidth="8.83203125" defaultRowHeight="15" x14ac:dyDescent="0.2"/>
  <cols>
    <col min="1" max="1" width="2.6640625" customWidth="1"/>
    <col min="2" max="2" width="24.33203125" customWidth="1"/>
    <col min="3" max="3" width="31" customWidth="1"/>
    <col min="4" max="4" width="13.6640625" customWidth="1"/>
    <col min="5" max="5" width="15.6640625" customWidth="1"/>
    <col min="6" max="6" width="18.5" customWidth="1"/>
    <col min="7" max="7" width="21.33203125" customWidth="1"/>
    <col min="8" max="8" width="15.6640625" customWidth="1"/>
    <col min="9" max="9" width="36.6640625" bestFit="1" customWidth="1"/>
    <col min="10" max="10" width="15.6640625" customWidth="1"/>
    <col min="11" max="11" width="4.6640625" customWidth="1"/>
    <col min="12" max="12" width="23.6640625" customWidth="1"/>
    <col min="13" max="13" width="31" customWidth="1"/>
    <col min="14" max="14" width="14" customWidth="1"/>
    <col min="15" max="15" width="15.6640625" customWidth="1"/>
    <col min="16" max="16" width="16" customWidth="1"/>
    <col min="17" max="17" width="20.33203125" bestFit="1" customWidth="1"/>
    <col min="18" max="20" width="15.6640625" customWidth="1"/>
    <col min="21" max="21" width="2.6640625" customWidth="1"/>
    <col min="22" max="22" width="3" customWidth="1"/>
  </cols>
  <sheetData>
    <row r="1" spans="1:22" ht="15.75" customHeight="1" x14ac:dyDescent="0.2">
      <c r="A1" s="5"/>
      <c r="B1" s="1159" t="s">
        <v>0</v>
      </c>
      <c r="C1" s="1159"/>
      <c r="D1" s="1159"/>
      <c r="E1" s="1159"/>
      <c r="F1" s="1159"/>
      <c r="G1" s="1159"/>
      <c r="H1" s="1159"/>
      <c r="I1" s="1159"/>
      <c r="J1" s="1159"/>
      <c r="K1" s="1159"/>
      <c r="L1" s="1159"/>
      <c r="M1" s="1159"/>
      <c r="N1" s="1159"/>
      <c r="O1" s="1159"/>
      <c r="P1" s="1159"/>
      <c r="Q1" s="1159"/>
      <c r="R1" s="1159"/>
      <c r="S1" s="1159"/>
      <c r="T1" s="1159"/>
      <c r="U1" s="665"/>
      <c r="V1" s="5"/>
    </row>
    <row r="2" spans="1:22" ht="21" customHeight="1" x14ac:dyDescent="0.2">
      <c r="A2" s="5"/>
      <c r="B2" s="1296" t="s">
        <v>1</v>
      </c>
      <c r="C2" s="1296"/>
      <c r="D2" s="1296"/>
      <c r="E2" s="1296"/>
      <c r="F2" s="1296"/>
      <c r="G2" s="1296"/>
      <c r="H2" s="1296"/>
      <c r="I2" s="1161"/>
      <c r="J2" s="1161"/>
      <c r="K2" s="1161"/>
      <c r="L2" s="1161"/>
      <c r="M2" s="1161"/>
      <c r="N2" s="1161"/>
      <c r="O2" s="1161"/>
      <c r="P2" s="1161"/>
      <c r="Q2" s="1161"/>
      <c r="R2" s="1161"/>
      <c r="S2" s="1161"/>
      <c r="T2" s="1161"/>
      <c r="U2" s="32"/>
      <c r="V2" s="5"/>
    </row>
    <row r="3" spans="1:22" ht="18" x14ac:dyDescent="0.2">
      <c r="A3" s="5"/>
      <c r="B3" s="285"/>
      <c r="C3" s="1206" t="s">
        <v>126</v>
      </c>
      <c r="D3" s="1206"/>
      <c r="E3" s="1206"/>
      <c r="F3" s="1206"/>
      <c r="G3" s="1206"/>
      <c r="H3" s="1206"/>
      <c r="I3" s="285"/>
      <c r="J3" s="449"/>
      <c r="K3" s="449"/>
      <c r="L3" s="449"/>
      <c r="M3" s="449"/>
      <c r="N3" s="449"/>
      <c r="O3" s="449"/>
      <c r="P3" s="449"/>
      <c r="Q3" s="449"/>
      <c r="R3" s="449"/>
      <c r="S3" s="449"/>
      <c r="T3" s="449"/>
      <c r="U3" s="93"/>
      <c r="V3" s="5"/>
    </row>
    <row r="4" spans="1:22" ht="18" x14ac:dyDescent="0.2">
      <c r="A4" s="5"/>
      <c r="B4" s="1163" t="s">
        <v>326</v>
      </c>
      <c r="C4" s="1297"/>
      <c r="D4" s="1297"/>
      <c r="E4" s="1297"/>
      <c r="F4" s="1297"/>
      <c r="G4" s="1297"/>
      <c r="H4" s="1297"/>
      <c r="I4" s="1297"/>
      <c r="J4" s="1297"/>
      <c r="K4" s="1297"/>
      <c r="L4" s="1297"/>
      <c r="M4" s="1297"/>
      <c r="N4" s="1297"/>
      <c r="O4" s="1297"/>
      <c r="P4" s="1297"/>
      <c r="Q4" s="1297"/>
      <c r="R4" s="1297"/>
      <c r="S4" s="1297"/>
      <c r="T4" s="1297"/>
      <c r="U4" s="6"/>
      <c r="V4" s="5"/>
    </row>
    <row r="5" spans="1:22" ht="58.5" customHeight="1" x14ac:dyDescent="0.2">
      <c r="A5" s="5"/>
      <c r="B5" s="1188" t="s">
        <v>327</v>
      </c>
      <c r="C5" s="1188"/>
      <c r="D5" s="1188"/>
      <c r="E5" s="1188"/>
      <c r="F5" s="1188"/>
      <c r="G5" s="1188"/>
      <c r="H5" s="1188"/>
      <c r="I5" s="1188"/>
      <c r="J5" s="1188"/>
      <c r="K5" s="1188"/>
      <c r="L5" s="1188"/>
      <c r="M5" s="24"/>
      <c r="N5" s="24"/>
      <c r="O5" s="24"/>
      <c r="P5" s="24"/>
      <c r="Q5" s="24"/>
      <c r="R5" s="24"/>
      <c r="S5" s="24"/>
      <c r="T5" s="597"/>
      <c r="U5" s="6"/>
      <c r="V5" s="5"/>
    </row>
    <row r="6" spans="1:22" ht="18" x14ac:dyDescent="0.2">
      <c r="A6" s="5"/>
      <c r="B6" s="646"/>
      <c r="I6" s="647"/>
      <c r="J6" s="647"/>
      <c r="K6" s="597"/>
      <c r="L6" s="597"/>
      <c r="M6" s="597"/>
      <c r="N6" s="597"/>
      <c r="O6" s="597"/>
      <c r="P6" s="597"/>
      <c r="Q6" s="597"/>
      <c r="R6" s="597"/>
      <c r="S6" s="597"/>
      <c r="T6" s="597"/>
      <c r="U6" s="6"/>
      <c r="V6" s="5"/>
    </row>
    <row r="7" spans="1:22" ht="19.5" customHeight="1" x14ac:dyDescent="0.2">
      <c r="A7" s="5"/>
      <c r="B7" s="43"/>
      <c r="C7" s="1262" t="s">
        <v>174</v>
      </c>
      <c r="D7" s="1262"/>
      <c r="E7" s="1262"/>
      <c r="F7" s="1262"/>
      <c r="G7" s="1262"/>
      <c r="H7" s="1262"/>
      <c r="I7" s="1262"/>
      <c r="J7" s="1303"/>
      <c r="K7" s="597"/>
      <c r="L7" s="41"/>
      <c r="M7" s="1262" t="s">
        <v>162</v>
      </c>
      <c r="N7" s="1262"/>
      <c r="O7" s="1262"/>
      <c r="P7" s="1262"/>
      <c r="Q7" s="1262"/>
      <c r="R7" s="1262"/>
      <c r="S7" s="1303"/>
      <c r="T7" s="597"/>
      <c r="U7" s="6"/>
      <c r="V7" s="5"/>
    </row>
    <row r="8" spans="1:22" ht="17" customHeight="1" x14ac:dyDescent="0.2">
      <c r="A8" s="5"/>
      <c r="B8" s="43" t="s">
        <v>163</v>
      </c>
      <c r="C8" s="1265" t="str">
        <f>New_Technology</f>
        <v>Waste Heat Recovery (Heat Pump)</v>
      </c>
      <c r="D8" s="1265"/>
      <c r="E8" s="1265"/>
      <c r="F8" s="1265"/>
      <c r="G8" s="1265"/>
      <c r="H8" s="1265"/>
      <c r="I8" s="1265"/>
      <c r="J8" s="1304"/>
      <c r="K8" s="148"/>
      <c r="L8" s="41" t="s">
        <v>163</v>
      </c>
      <c r="M8" s="1265" t="str">
        <f>Commercial_Benchmark</f>
        <v>Evaporative Condenser</v>
      </c>
      <c r="N8" s="1265"/>
      <c r="O8" s="1265"/>
      <c r="P8" s="1265"/>
      <c r="Q8" s="1265"/>
      <c r="R8" s="1265"/>
      <c r="S8" s="1304"/>
      <c r="T8" s="148"/>
      <c r="U8" s="51"/>
      <c r="V8" s="5"/>
    </row>
    <row r="9" spans="1:22" x14ac:dyDescent="0.2">
      <c r="A9" s="5"/>
      <c r="B9" s="43" t="s">
        <v>164</v>
      </c>
      <c r="C9" s="1265" t="str">
        <f>New_Technology_Apps</f>
        <v>Cooled Waste Water</v>
      </c>
      <c r="D9" s="1265"/>
      <c r="E9" s="1265"/>
      <c r="F9" s="1265"/>
      <c r="G9" s="1265"/>
      <c r="H9" s="1265"/>
      <c r="I9" s="1265"/>
      <c r="J9" s="1304"/>
      <c r="K9" s="148"/>
      <c r="L9" s="41" t="s">
        <v>164</v>
      </c>
      <c r="M9" s="1265" t="str">
        <f>Benchmark_Apps</f>
        <v>Cooled Waste Water</v>
      </c>
      <c r="N9" s="1265"/>
      <c r="O9" s="1265"/>
      <c r="P9" s="1265"/>
      <c r="Q9" s="1265"/>
      <c r="R9" s="1265"/>
      <c r="S9" s="1304"/>
      <c r="T9" s="148"/>
      <c r="U9" s="51"/>
      <c r="V9" s="5"/>
    </row>
    <row r="10" spans="1:22" x14ac:dyDescent="0.2">
      <c r="A10" s="5"/>
      <c r="B10" s="43" t="s">
        <v>175</v>
      </c>
      <c r="C10" s="744">
        <f>Ref_Volume</f>
        <v>2</v>
      </c>
      <c r="D10" s="651" t="str">
        <f>Ref_Volume_Unit</f>
        <v>Million Gallons</v>
      </c>
      <c r="E10" s="449"/>
      <c r="F10" s="651"/>
      <c r="G10" s="651"/>
      <c r="H10" s="651"/>
      <c r="I10" s="651"/>
      <c r="J10" s="652"/>
      <c r="K10" s="148"/>
      <c r="L10" s="41" t="s">
        <v>175</v>
      </c>
      <c r="M10" s="744">
        <f>Ref_Volume_Benchmark</f>
        <v>2</v>
      </c>
      <c r="N10" s="650" t="str">
        <f>Ref_Volume_Unit</f>
        <v>Million Gallons</v>
      </c>
      <c r="O10" s="651"/>
      <c r="P10" s="651"/>
      <c r="Q10" s="651"/>
      <c r="R10" s="651"/>
      <c r="S10" s="652"/>
      <c r="T10" s="148"/>
      <c r="U10" s="51"/>
      <c r="V10" s="5"/>
    </row>
    <row r="11" spans="1:22" x14ac:dyDescent="0.2">
      <c r="A11" s="5"/>
      <c r="B11" s="243"/>
      <c r="C11" s="22" t="s">
        <v>328</v>
      </c>
      <c r="D11" s="22" t="s">
        <v>167</v>
      </c>
      <c r="F11" s="244"/>
      <c r="G11" s="244"/>
      <c r="H11" s="22"/>
      <c r="I11" s="22"/>
      <c r="J11" s="22"/>
      <c r="K11" s="245"/>
      <c r="L11" s="246"/>
      <c r="M11" s="22" t="s">
        <v>328</v>
      </c>
      <c r="N11" s="22" t="s">
        <v>167</v>
      </c>
      <c r="O11" s="22"/>
      <c r="P11" s="22"/>
      <c r="Q11" s="22"/>
      <c r="R11" s="22"/>
      <c r="S11" s="22"/>
      <c r="T11" s="245"/>
      <c r="U11" s="247"/>
      <c r="V11" s="5"/>
    </row>
    <row r="12" spans="1:22" ht="18" x14ac:dyDescent="0.2">
      <c r="A12" s="5"/>
      <c r="B12" s="55"/>
      <c r="C12" s="110"/>
      <c r="D12" s="21"/>
      <c r="E12" s="21"/>
      <c r="F12" s="45"/>
      <c r="G12" s="45"/>
      <c r="H12" s="21"/>
      <c r="I12" s="21"/>
      <c r="J12" s="21"/>
      <c r="K12" s="597"/>
      <c r="L12" s="597"/>
      <c r="M12" s="597"/>
      <c r="N12" s="597"/>
      <c r="O12" s="597"/>
      <c r="P12" s="597"/>
      <c r="Q12" s="597"/>
      <c r="R12" s="597"/>
      <c r="S12" s="597"/>
      <c r="T12" s="597"/>
      <c r="U12" s="6"/>
      <c r="V12" s="5"/>
    </row>
    <row r="13" spans="1:22" x14ac:dyDescent="0.2">
      <c r="B13" s="94" t="s">
        <v>329</v>
      </c>
      <c r="C13" s="111"/>
      <c r="D13" s="45"/>
      <c r="E13" s="45"/>
      <c r="F13" s="45"/>
      <c r="G13" s="45"/>
      <c r="H13" s="45"/>
      <c r="I13" s="45"/>
      <c r="J13" s="45"/>
      <c r="K13" s="45"/>
      <c r="L13" s="111" t="s">
        <v>330</v>
      </c>
      <c r="M13" s="45"/>
      <c r="N13" s="45"/>
      <c r="O13" s="45"/>
      <c r="P13" s="45"/>
      <c r="Q13" s="45"/>
      <c r="R13" s="45"/>
      <c r="S13" s="45"/>
      <c r="T13" s="45"/>
      <c r="U13" s="12"/>
    </row>
    <row r="14" spans="1:22" ht="15.75" customHeight="1" x14ac:dyDescent="0.2">
      <c r="B14" s="94"/>
      <c r="C14" s="111"/>
      <c r="D14" s="453" t="s">
        <v>331</v>
      </c>
      <c r="E14" s="1298" t="s">
        <v>332</v>
      </c>
      <c r="F14" s="1298"/>
      <c r="G14" s="1298"/>
      <c r="H14" s="45"/>
      <c r="I14" s="45"/>
      <c r="J14" s="45"/>
      <c r="K14" s="45"/>
      <c r="L14" s="111"/>
      <c r="M14" s="111"/>
      <c r="N14" s="453" t="s">
        <v>331</v>
      </c>
      <c r="O14" s="1298" t="s">
        <v>332</v>
      </c>
      <c r="P14" s="1298"/>
      <c r="Q14" s="1298"/>
      <c r="R14" s="45"/>
      <c r="S14" s="45"/>
      <c r="T14" s="45"/>
      <c r="U14" s="12"/>
    </row>
    <row r="15" spans="1:22" x14ac:dyDescent="0.2">
      <c r="B15" s="94"/>
      <c r="C15" s="111"/>
      <c r="D15" s="454" t="s">
        <v>333</v>
      </c>
      <c r="E15" s="1298"/>
      <c r="F15" s="1298"/>
      <c r="G15" s="1298"/>
      <c r="H15" s="45"/>
      <c r="I15" s="45"/>
      <c r="J15" s="45"/>
      <c r="K15" s="45"/>
      <c r="L15" s="111"/>
      <c r="M15" s="111"/>
      <c r="N15" s="454" t="s">
        <v>333</v>
      </c>
      <c r="O15" s="1298"/>
      <c r="P15" s="1298"/>
      <c r="Q15" s="1298"/>
      <c r="R15" s="45"/>
      <c r="S15" s="45"/>
      <c r="T15" s="45"/>
      <c r="U15" s="12"/>
    </row>
    <row r="16" spans="1:22" ht="57" x14ac:dyDescent="0.2">
      <c r="A16" s="50"/>
      <c r="B16" s="54" t="s">
        <v>334</v>
      </c>
      <c r="C16" s="54" t="s">
        <v>335</v>
      </c>
      <c r="D16" s="438" t="s">
        <v>336</v>
      </c>
      <c r="E16" s="438" t="s">
        <v>337</v>
      </c>
      <c r="F16" s="163" t="s">
        <v>338</v>
      </c>
      <c r="G16" s="163" t="s">
        <v>339</v>
      </c>
      <c r="H16" s="163" t="s">
        <v>340</v>
      </c>
      <c r="I16" s="163" t="s">
        <v>341</v>
      </c>
      <c r="J16" s="163" t="s">
        <v>342</v>
      </c>
      <c r="K16" s="150"/>
      <c r="L16" s="54" t="s">
        <v>334</v>
      </c>
      <c r="M16" s="54" t="s">
        <v>335</v>
      </c>
      <c r="N16" s="438" t="s">
        <v>336</v>
      </c>
      <c r="O16" s="438" t="s">
        <v>337</v>
      </c>
      <c r="P16" s="163" t="s">
        <v>338</v>
      </c>
      <c r="Q16" s="163" t="s">
        <v>339</v>
      </c>
      <c r="R16" s="163" t="s">
        <v>340</v>
      </c>
      <c r="S16" s="163" t="s">
        <v>341</v>
      </c>
      <c r="T16" s="163" t="s">
        <v>342</v>
      </c>
      <c r="U16" s="12"/>
    </row>
    <row r="17" spans="1:21" x14ac:dyDescent="0.2">
      <c r="A17" s="50"/>
      <c r="B17" s="124" t="s">
        <v>343</v>
      </c>
      <c r="C17" s="124" t="s">
        <v>343</v>
      </c>
      <c r="D17" s="934">
        <f>F61*C69</f>
        <v>4.8050531506849316E-3</v>
      </c>
      <c r="E17" s="451">
        <f>IF(ISNUMBER('Summary Ref Tables'!J8),'Summary Ref Tables'!J8,"")</f>
        <v>21.043376318874564</v>
      </c>
      <c r="F17" s="459">
        <f>'Grid Mix Customization'!F31</f>
        <v>108.5873463079036</v>
      </c>
      <c r="G17" s="460">
        <f>'Summary Ref Tables'!F8</f>
        <v>2.8593557566531782</v>
      </c>
      <c r="H17" s="461">
        <f t="shared" ref="H17:H24" si="0">IF(D17&lt;&gt;"",D17*G17,"")</f>
        <v>1.3739356387435451E-2</v>
      </c>
      <c r="I17" s="462">
        <f t="shared" ref="I17:I25" si="1">IF(D17&lt;&gt;"",D17*E17,"")</f>
        <v>0.1011145416820569</v>
      </c>
      <c r="J17" s="463">
        <f t="shared" ref="J17:J25" si="2">IF(D17&lt;&gt;"",D17*F17,"")</f>
        <v>0.52176797050130796</v>
      </c>
      <c r="K17" s="150"/>
      <c r="L17" s="124" t="s">
        <v>343</v>
      </c>
      <c r="M17" s="276" t="s">
        <v>343</v>
      </c>
      <c r="N17" s="458">
        <f>B82+D17</f>
        <v>0.37120337606268483</v>
      </c>
      <c r="O17" s="451">
        <f>IF(ISNUMBER('Summary Ref Tables'!J8),'Summary Ref Tables'!J8,"")</f>
        <v>21.043376318874564</v>
      </c>
      <c r="P17" s="459">
        <f>'Grid Mix Customization'!F31</f>
        <v>108.5873463079036</v>
      </c>
      <c r="Q17" s="460">
        <f>'Summary Ref Tables'!F8</f>
        <v>2.8593557566531782</v>
      </c>
      <c r="R17" s="461">
        <f>IF(N17&lt;&gt;"",N17*Q17,"")</f>
        <v>1.0614025102339324</v>
      </c>
      <c r="S17" s="462">
        <f t="shared" ref="S17" si="3">IF(N17&lt;&gt;"",N17*O17,"")</f>
        <v>7.8113723333237912</v>
      </c>
      <c r="T17" s="463">
        <f t="shared" ref="T17:T25" si="4">IF(N17&lt;&gt;"",N17*P17,"")</f>
        <v>40.307989547181734</v>
      </c>
      <c r="U17" s="12"/>
    </row>
    <row r="18" spans="1:21" x14ac:dyDescent="0.2">
      <c r="A18" s="50"/>
      <c r="B18" s="1050" t="s">
        <v>344</v>
      </c>
      <c r="C18" s="701" t="s">
        <v>345</v>
      </c>
      <c r="D18" s="458"/>
      <c r="E18" s="451">
        <f>INDEX('Summary Ref Tables'!J9:J16,MATCH(C18,'Summary Ref Tables'!E9:E16,0))</f>
        <v>18.343154246100521</v>
      </c>
      <c r="F18" s="685">
        <f>INDEX('Summary Ref Tables'!K9:K16,MATCH(C18,'Summary Ref Tables'!E9:E16,0))</f>
        <v>172.92600480000002</v>
      </c>
      <c r="G18" s="460">
        <f>'Summary Ref Tables'!F9</f>
        <v>1</v>
      </c>
      <c r="H18" s="461" t="str">
        <f t="shared" si="0"/>
        <v/>
      </c>
      <c r="I18" s="462" t="str">
        <f t="shared" si="1"/>
        <v/>
      </c>
      <c r="J18" s="463" t="str">
        <f t="shared" si="2"/>
        <v/>
      </c>
      <c r="K18" s="150"/>
      <c r="L18" s="1050" t="s">
        <v>344</v>
      </c>
      <c r="M18" s="785" t="s">
        <v>345</v>
      </c>
      <c r="N18" s="458"/>
      <c r="O18" s="451">
        <f>INDEX('Summary Ref Tables'!J9:J16,MATCH(M18,'Summary Ref Tables'!E9:E16,0))</f>
        <v>18.343154246100521</v>
      </c>
      <c r="P18" s="685">
        <f>INDEX('Summary Ref Tables'!K9:K16,MATCH(M18,'Summary Ref Tables'!E9:E16,0))</f>
        <v>172.92600480000002</v>
      </c>
      <c r="Q18" s="460">
        <f>'Summary Ref Tables'!F9</f>
        <v>1</v>
      </c>
      <c r="R18" s="461" t="str">
        <f t="shared" ref="R18:R19" si="5">IF(N18&lt;&gt;"",N18*Q18,"")</f>
        <v/>
      </c>
      <c r="S18" s="462" t="str">
        <f t="shared" ref="S18:S25" si="6">IF(N18&lt;&gt;"",N18*O18,"")</f>
        <v/>
      </c>
      <c r="T18" s="463" t="str">
        <f t="shared" si="4"/>
        <v/>
      </c>
      <c r="U18" s="12"/>
    </row>
    <row r="19" spans="1:21" x14ac:dyDescent="0.2">
      <c r="A19" s="50"/>
      <c r="B19" s="1051" t="s">
        <v>346</v>
      </c>
      <c r="C19" s="701" t="s">
        <v>347</v>
      </c>
      <c r="D19" s="458"/>
      <c r="E19" s="451">
        <f>INDEX('Summary Ref Tables'!J17:J20,MATCH(C19,'Summary Ref Tables'!E17:E20,0))</f>
        <v>6.5924774030518032</v>
      </c>
      <c r="F19" s="459">
        <f>INDEX('Summary Ref Tables'!K17:K20,MATCH(C19,'Summary Ref Tables'!E17:E20,0))</f>
        <v>229.78670299999999</v>
      </c>
      <c r="G19" s="460">
        <f>'Summary Ref Tables'!F17</f>
        <v>1</v>
      </c>
      <c r="H19" s="461" t="str">
        <f t="shared" si="0"/>
        <v/>
      </c>
      <c r="I19" s="462" t="str">
        <f t="shared" si="1"/>
        <v/>
      </c>
      <c r="J19" s="463" t="str">
        <f t="shared" si="2"/>
        <v/>
      </c>
      <c r="K19" s="150"/>
      <c r="L19" s="1051" t="s">
        <v>346</v>
      </c>
      <c r="M19" s="785" t="s">
        <v>347</v>
      </c>
      <c r="N19" s="458"/>
      <c r="O19" s="451">
        <f>INDEX('Summary Ref Tables'!J17:J20,MATCH(M19,'Summary Ref Tables'!E17:E20,0))</f>
        <v>6.5924774030518032</v>
      </c>
      <c r="P19" s="459">
        <f>INDEX('Summary Ref Tables'!K17:K20,MATCH(M19,'Summary Ref Tables'!E17:E20,0))</f>
        <v>229.78670299999999</v>
      </c>
      <c r="Q19" s="460">
        <f>'Summary Ref Tables'!F17</f>
        <v>1</v>
      </c>
      <c r="R19" s="461" t="str">
        <f t="shared" si="5"/>
        <v/>
      </c>
      <c r="S19" s="462" t="str">
        <f t="shared" si="6"/>
        <v/>
      </c>
      <c r="T19" s="463" t="str">
        <f t="shared" si="4"/>
        <v/>
      </c>
      <c r="U19" s="12"/>
    </row>
    <row r="20" spans="1:21" x14ac:dyDescent="0.2">
      <c r="A20" s="50"/>
      <c r="B20" s="688" t="s">
        <v>348</v>
      </c>
      <c r="C20" s="124" t="s">
        <v>348</v>
      </c>
      <c r="D20" s="934">
        <f>F62*C69</f>
        <v>1.3347369863013698E-2</v>
      </c>
      <c r="E20" s="451">
        <f>IF(ISNUMBER('Summary Ref Tables'!J21),'Summary Ref Tables'!J21,"")</f>
        <v>5.7940327237728582</v>
      </c>
      <c r="F20" s="459">
        <f>'Summary Ref Tables'!K21</f>
        <v>130.61490180000001</v>
      </c>
      <c r="G20" s="460">
        <f>'Summary Ref Tables'!F21</f>
        <v>1</v>
      </c>
      <c r="H20" s="461">
        <f>IF(D20&lt;&gt;"",D20*G20,"")</f>
        <v>1.3347369863013698E-2</v>
      </c>
      <c r="I20" s="462">
        <f t="shared" si="1"/>
        <v>7.7335097762601016E-2</v>
      </c>
      <c r="J20" s="463">
        <f t="shared" si="2"/>
        <v>1.7433654039458137</v>
      </c>
      <c r="K20" s="150"/>
      <c r="L20" s="688" t="s">
        <v>348</v>
      </c>
      <c r="M20" s="276" t="s">
        <v>348</v>
      </c>
      <c r="N20" s="458">
        <f>D20</f>
        <v>1.3347369863013698E-2</v>
      </c>
      <c r="O20" s="451">
        <f>'Summary Ref Tables'!J21</f>
        <v>5.7940327237728582</v>
      </c>
      <c r="P20" s="459">
        <f>'Summary Ref Tables'!K21</f>
        <v>130.61490180000001</v>
      </c>
      <c r="Q20" s="460">
        <f>'Summary Ref Tables'!F21</f>
        <v>1</v>
      </c>
      <c r="R20" s="461">
        <f>IF(N20&lt;&gt;"",N20*Q20,"")</f>
        <v>1.3347369863013698E-2</v>
      </c>
      <c r="S20" s="462">
        <f t="shared" si="6"/>
        <v>7.7335097762601016E-2</v>
      </c>
      <c r="T20" s="463">
        <f t="shared" si="4"/>
        <v>1.7433654039458137</v>
      </c>
      <c r="U20" s="12"/>
    </row>
    <row r="21" spans="1:21" x14ac:dyDescent="0.2">
      <c r="B21" s="1052" t="s">
        <v>349</v>
      </c>
      <c r="C21" s="701" t="s">
        <v>350</v>
      </c>
      <c r="D21" s="458"/>
      <c r="E21" s="451">
        <f>INDEX('Summary Ref Tables'!I22:I30,MATCH(C21,'Summary Ref Tables'!E22:E30,0))</f>
        <v>2.89</v>
      </c>
      <c r="F21" s="459">
        <f>INDEX('Summary Ref Tables'!K22:K30,MATCH(C21,'Summary Ref Tables'!E22:E30,0))</f>
        <v>264.93605200000002</v>
      </c>
      <c r="G21" s="460">
        <f>'Summary Ref Tables'!F19</f>
        <v>1</v>
      </c>
      <c r="H21" s="461" t="str">
        <f>IF(D21&lt;&gt;"",D21*G21,"")</f>
        <v/>
      </c>
      <c r="I21" s="462" t="str">
        <f t="shared" si="1"/>
        <v/>
      </c>
      <c r="J21" s="463" t="str">
        <f t="shared" si="2"/>
        <v/>
      </c>
      <c r="L21" s="1054" t="s">
        <v>349</v>
      </c>
      <c r="M21" s="785" t="s">
        <v>350</v>
      </c>
      <c r="N21" s="458"/>
      <c r="O21" s="451">
        <f>INDEX('Summary Ref Tables'!J22:J30,MATCH(M21,'Summary Ref Tables'!E22:E30,0))</f>
        <v>2.89</v>
      </c>
      <c r="P21" s="459">
        <f>INDEX('Summary Ref Tables'!K22:K30,MATCH(M21,'Summary Ref Tables'!E22:E30,0))</f>
        <v>264.93605200000002</v>
      </c>
      <c r="Q21" s="460">
        <f>'Summary Ref Tables'!F19</f>
        <v>1</v>
      </c>
      <c r="R21" s="461" t="str">
        <f>IF(N21&lt;&gt;"",N21*Q21,"")</f>
        <v/>
      </c>
      <c r="S21" s="462" t="str">
        <f t="shared" si="6"/>
        <v/>
      </c>
      <c r="T21" s="463" t="str">
        <f t="shared" si="4"/>
        <v/>
      </c>
      <c r="U21" s="112"/>
    </row>
    <row r="22" spans="1:21" x14ac:dyDescent="0.2">
      <c r="A22" s="50"/>
      <c r="B22" s="691" t="s">
        <v>351</v>
      </c>
      <c r="C22" s="124" t="s">
        <v>352</v>
      </c>
      <c r="D22" s="458"/>
      <c r="E22" s="451">
        <f>IF(ISNUMBER('Summary Ref Tables'!J30),'Summary Ref Tables'!J30,"")</f>
        <v>4.7</v>
      </c>
      <c r="F22" s="459">
        <f>'Summary Ref Tables'!K30</f>
        <v>146.39000687203793</v>
      </c>
      <c r="G22" s="460">
        <f>'Summary Ref Tables'!F30</f>
        <v>1.1992</v>
      </c>
      <c r="H22" s="461" t="str">
        <f>IF(D22&lt;&gt;"",D22*G22,"")</f>
        <v/>
      </c>
      <c r="I22" s="462" t="str">
        <f t="shared" si="1"/>
        <v/>
      </c>
      <c r="J22" s="463" t="str">
        <f t="shared" si="2"/>
        <v/>
      </c>
      <c r="K22" s="150"/>
      <c r="L22" s="691" t="s">
        <v>351</v>
      </c>
      <c r="M22" s="276" t="s">
        <v>352</v>
      </c>
      <c r="N22" s="458"/>
      <c r="O22" s="451">
        <f>IF(ISNUMBER('Summary Ref Tables'!J30),'Summary Ref Tables'!J30,"")</f>
        <v>4.7</v>
      </c>
      <c r="P22" s="459">
        <f>'Summary Ref Tables'!K30</f>
        <v>146.39000687203793</v>
      </c>
      <c r="Q22" s="460">
        <f>'Summary Ref Tables'!F30</f>
        <v>1.1992</v>
      </c>
      <c r="R22" s="461" t="str">
        <f t="shared" ref="R22:R25" si="7">IF(N22&lt;&gt;"",N22*Q22,"")</f>
        <v/>
      </c>
      <c r="S22" s="462" t="str">
        <f t="shared" si="6"/>
        <v/>
      </c>
      <c r="T22" s="463" t="str">
        <f t="shared" si="4"/>
        <v/>
      </c>
      <c r="U22" s="12"/>
    </row>
    <row r="23" spans="1:21" x14ac:dyDescent="0.2">
      <c r="A23" s="50"/>
      <c r="B23" s="700" t="s">
        <v>353</v>
      </c>
      <c r="C23" s="783"/>
      <c r="D23" s="458"/>
      <c r="E23" s="451" t="str">
        <f>IF(C23="","",INDEX('Summary Ref Tables'!J8:J30,MATCH(C23,'Summary Ref Tables'!E8:E30,0)))</f>
        <v/>
      </c>
      <c r="F23" s="459" t="str">
        <f>IF(C23="","",INDEX('Summary Ref Tables'!K8:K30,MATCH(C23,'Summary Ref Tables'!E8:E30,0)))</f>
        <v/>
      </c>
      <c r="G23" s="460" t="str">
        <f>IF(C23="","",INDEX('Summary Ref Tables'!F8:F30,MATCH(C23,'Summary Ref Tables'!E8:E30,0)))</f>
        <v/>
      </c>
      <c r="H23" s="461" t="str">
        <f>IF(D23&lt;&gt;"",D23*G23,"")</f>
        <v/>
      </c>
      <c r="I23" s="462" t="str">
        <f t="shared" si="1"/>
        <v/>
      </c>
      <c r="J23" s="463" t="str">
        <f t="shared" si="2"/>
        <v/>
      </c>
      <c r="K23" s="150"/>
      <c r="L23" s="782" t="s">
        <v>353</v>
      </c>
      <c r="M23" s="1020"/>
      <c r="N23" s="458"/>
      <c r="O23" s="451" t="str">
        <f>IF(M23="","",INDEX('Summary Ref Tables'!J8:J30,MATCH(M23,'Summary Ref Tables'!E8:E30,0)))</f>
        <v/>
      </c>
      <c r="P23" s="459" t="str">
        <f>IF(M23="","",INDEX('Summary Ref Tables'!K8:K30,MATCH(M23,'Summary Ref Tables'!E8:E30,0)))</f>
        <v/>
      </c>
      <c r="Q23" s="460" t="str">
        <f>IF(M23="","",INDEX('Summary Ref Tables'!F8:F30,MATCH(M23,'Summary Ref Tables'!E8:E30,0)))</f>
        <v/>
      </c>
      <c r="R23" s="461" t="str">
        <f>IF(N23&lt;&gt;"",N23*Q23,"")</f>
        <v/>
      </c>
      <c r="S23" s="462" t="str">
        <f t="shared" si="6"/>
        <v/>
      </c>
      <c r="T23" s="463" t="str">
        <f t="shared" si="4"/>
        <v/>
      </c>
      <c r="U23" s="12"/>
    </row>
    <row r="24" spans="1:21" ht="16.25" customHeight="1" x14ac:dyDescent="0.2">
      <c r="A24" s="50"/>
      <c r="B24" s="781" t="s">
        <v>354</v>
      </c>
      <c r="C24" s="783"/>
      <c r="D24" s="458"/>
      <c r="E24" s="451" t="str">
        <f>IF(C24="","",INDEX('Summary Ref Tables'!J8:J30,MATCH(C24,'Summary Ref Tables'!E8:E30,0)))</f>
        <v/>
      </c>
      <c r="F24" s="459" t="str">
        <f>IF(C24="","",INDEX('Summary Ref Tables'!K8:K30,MATCH(C24,'Summary Ref Tables'!E8:E30,0)))</f>
        <v/>
      </c>
      <c r="G24" s="460" t="str">
        <f>IF(C24="","",INDEX('Summary Ref Tables'!F8:F30,MATCH(C24,'Summary Ref Tables'!E8:E30,0)))</f>
        <v/>
      </c>
      <c r="H24" s="461" t="str">
        <f t="shared" si="0"/>
        <v/>
      </c>
      <c r="I24" s="462" t="str">
        <f t="shared" si="1"/>
        <v/>
      </c>
      <c r="J24" s="463" t="str">
        <f t="shared" si="2"/>
        <v/>
      </c>
      <c r="K24" s="150"/>
      <c r="L24" s="781" t="s">
        <v>354</v>
      </c>
      <c r="M24" s="1020" t="s">
        <v>355</v>
      </c>
      <c r="N24" s="458"/>
      <c r="O24" s="451">
        <f>IF(M24="","",INDEX('Summary Ref Tables'!J8:J30,MATCH(M24,'Summary Ref Tables'!E8:E30,0)))</f>
        <v>12.21727515583259</v>
      </c>
      <c r="P24" s="459">
        <f>IF(M24="","",INDEX('Summary Ref Tables'!K8:K30,MATCH(M24,'Summary Ref Tables'!E8:E30,0)))</f>
        <v>146.89690179999999</v>
      </c>
      <c r="Q24" s="460">
        <f>IF(M24="","",INDEX('Summary Ref Tables'!F8:F30,MATCH(M24,'Summary Ref Tables'!E8:E30,0)))</f>
        <v>1</v>
      </c>
      <c r="R24" s="461" t="str">
        <f>IF(N24&lt;&gt;"",N24*Q24,"")</f>
        <v/>
      </c>
      <c r="S24" s="462" t="str">
        <f t="shared" si="6"/>
        <v/>
      </c>
      <c r="T24" s="463" t="str">
        <f t="shared" si="4"/>
        <v/>
      </c>
      <c r="U24" s="12"/>
    </row>
    <row r="25" spans="1:21" ht="16.25" customHeight="1" x14ac:dyDescent="0.2">
      <c r="A25" s="50"/>
      <c r="B25" s="781" t="s">
        <v>356</v>
      </c>
      <c r="C25" s="783" t="s">
        <v>357</v>
      </c>
      <c r="D25" s="458"/>
      <c r="E25" s="451">
        <f>IF(C25="","",INDEX('Summary Ref Tables'!J8:J30,MATCH(C25,'Summary Ref Tables'!E8:E30,0)))</f>
        <v>4.3129584352078236</v>
      </c>
      <c r="F25" s="459">
        <f>IF(C25="","",INDEX('Summary Ref Tables'!K8:K30,MATCH(C25,'Summary Ref Tables'!E8:E30,0)))</f>
        <v>227.3544048</v>
      </c>
      <c r="G25" s="460">
        <f>IF(C25="","",INDEX('Summary Ref Tables'!F8:F30,MATCH(C25,'Summary Ref Tables'!E8:E30,0)))</f>
        <v>1</v>
      </c>
      <c r="H25" s="461" t="str">
        <f>IF(D25&lt;&gt;"",D25*G25,"")</f>
        <v/>
      </c>
      <c r="I25" s="462" t="str">
        <f t="shared" si="1"/>
        <v/>
      </c>
      <c r="J25" s="463" t="str">
        <f t="shared" si="2"/>
        <v/>
      </c>
      <c r="K25" s="150"/>
      <c r="L25" s="781" t="s">
        <v>356</v>
      </c>
      <c r="M25" s="1020"/>
      <c r="N25" s="458"/>
      <c r="O25" s="451" t="str">
        <f>IF(M25="","",INDEX('Summary Ref Tables'!J8:J30,MATCH(M25,'Summary Ref Tables'!E8:E30,0)))</f>
        <v/>
      </c>
      <c r="P25" s="459" t="str">
        <f>IF(M25="","",INDEX('Summary Ref Tables'!K8:K30,MATCH(M25,'Summary Ref Tables'!E8:E30,0)))</f>
        <v/>
      </c>
      <c r="Q25" s="460" t="str">
        <f>IF(M25="","",INDEX('Summary Ref Tables'!F8:F30,MATCH(M25,'Summary Ref Tables'!E8:E30,0)))</f>
        <v/>
      </c>
      <c r="R25" s="461" t="str">
        <f t="shared" si="7"/>
        <v/>
      </c>
      <c r="S25" s="462" t="str">
        <f t="shared" si="6"/>
        <v/>
      </c>
      <c r="T25" s="463" t="str">
        <f t="shared" si="4"/>
        <v/>
      </c>
      <c r="U25" s="12"/>
    </row>
    <row r="26" spans="1:21" x14ac:dyDescent="0.2">
      <c r="B26" s="789"/>
      <c r="H26" s="961">
        <f>SUM(H17:H25)</f>
        <v>2.7086726250449149E-2</v>
      </c>
      <c r="I26" s="462">
        <f>SUM(I17:I25)</f>
        <v>0.17844963944465791</v>
      </c>
      <c r="J26" s="962">
        <f>SUM(J17:J25)</f>
        <v>2.2651333744471218</v>
      </c>
      <c r="L26" s="45"/>
      <c r="M26" s="45"/>
      <c r="N26" s="45"/>
      <c r="O26" s="45"/>
      <c r="P26" s="45"/>
      <c r="Q26" s="45"/>
      <c r="R26" s="956">
        <f>SUM(R17:R25)</f>
        <v>1.0747498800969462</v>
      </c>
      <c r="S26" s="957">
        <f>SUM(S17:S25)</f>
        <v>7.8887074310863925</v>
      </c>
      <c r="T26" s="958">
        <f>SUM(T17:T25)</f>
        <v>42.05135495112755</v>
      </c>
      <c r="U26" s="112"/>
    </row>
    <row r="27" spans="1:21" x14ac:dyDescent="0.2">
      <c r="A27" s="50"/>
      <c r="B27" s="658" t="s">
        <v>358</v>
      </c>
      <c r="C27" s="249"/>
      <c r="D27" s="455"/>
      <c r="E27" s="456"/>
      <c r="F27" s="45"/>
      <c r="G27" s="45"/>
      <c r="H27" s="959"/>
      <c r="J27" s="960"/>
      <c r="K27" s="150"/>
      <c r="L27" s="57"/>
      <c r="M27" s="57"/>
      <c r="N27" s="57"/>
      <c r="O27" s="57"/>
      <c r="P27" s="151"/>
      <c r="Q27" s="151"/>
      <c r="R27" s="959"/>
      <c r="S27" s="944"/>
      <c r="T27" s="960"/>
      <c r="U27" s="12"/>
    </row>
    <row r="28" spans="1:21" x14ac:dyDescent="0.2">
      <c r="A28" s="50"/>
      <c r="B28" s="43" t="s">
        <v>359</v>
      </c>
      <c r="C28" s="249"/>
      <c r="D28" s="455"/>
      <c r="E28" s="456"/>
      <c r="F28" s="45"/>
      <c r="G28" s="45"/>
      <c r="H28" s="457"/>
      <c r="I28" s="464"/>
      <c r="J28" s="24"/>
      <c r="K28" s="150"/>
      <c r="L28" s="57"/>
      <c r="M28" s="57"/>
      <c r="N28" s="57"/>
      <c r="O28" s="57"/>
      <c r="P28" s="151"/>
      <c r="Q28" s="151"/>
      <c r="R28" s="151"/>
      <c r="S28" s="151"/>
      <c r="T28" s="151"/>
      <c r="U28" s="12"/>
    </row>
    <row r="29" spans="1:21" x14ac:dyDescent="0.2">
      <c r="B29" s="801"/>
      <c r="C29" s="802"/>
      <c r="D29" s="89"/>
      <c r="E29" s="89"/>
      <c r="F29" s="89"/>
      <c r="G29" s="89"/>
      <c r="H29" s="89"/>
      <c r="I29" s="89"/>
      <c r="J29" s="89"/>
      <c r="K29" s="89"/>
      <c r="L29" s="803"/>
      <c r="M29" s="89"/>
      <c r="N29" s="89"/>
      <c r="O29" s="89"/>
      <c r="P29" s="89"/>
      <c r="Q29" s="89"/>
      <c r="R29" s="89"/>
      <c r="S29" s="89"/>
      <c r="T29" s="89"/>
      <c r="U29" s="90"/>
    </row>
    <row r="30" spans="1:21" ht="18" x14ac:dyDescent="0.2">
      <c r="B30" s="1163" t="s">
        <v>360</v>
      </c>
      <c r="C30" s="1165"/>
      <c r="D30" s="1165"/>
      <c r="E30" s="1165"/>
      <c r="F30" s="1165"/>
      <c r="G30" s="1165"/>
      <c r="H30" s="1165"/>
      <c r="I30" s="1165"/>
      <c r="J30" s="1165"/>
      <c r="K30" s="1165"/>
      <c r="L30" s="1165"/>
      <c r="M30" s="1165"/>
      <c r="N30" s="1165"/>
      <c r="O30" s="1165"/>
      <c r="P30" s="1165"/>
      <c r="Q30" s="644"/>
      <c r="R30" s="96"/>
      <c r="S30" s="96"/>
      <c r="T30" s="96"/>
      <c r="U30" s="97"/>
    </row>
    <row r="31" spans="1:21" ht="30" customHeight="1" x14ac:dyDescent="0.2">
      <c r="B31" s="1188" t="s">
        <v>361</v>
      </c>
      <c r="C31" s="1189"/>
      <c r="D31" s="1189"/>
      <c r="E31" s="1189"/>
      <c r="F31" s="1189"/>
      <c r="G31" s="1189"/>
      <c r="H31" s="1189"/>
      <c r="I31" s="1189"/>
      <c r="J31" s="1189"/>
      <c r="K31" s="1189"/>
      <c r="L31" s="1189"/>
      <c r="M31" s="1189"/>
      <c r="N31" s="45"/>
      <c r="O31" s="45"/>
      <c r="P31" s="45"/>
      <c r="Q31" s="45"/>
      <c r="R31" s="45"/>
      <c r="S31" s="45"/>
      <c r="T31" s="45"/>
      <c r="U31" s="12"/>
    </row>
    <row r="32" spans="1:21" x14ac:dyDescent="0.2">
      <c r="B32" s="646"/>
      <c r="C32" s="647"/>
      <c r="D32" s="647"/>
      <c r="E32" s="647"/>
      <c r="F32" s="647"/>
      <c r="G32" s="647"/>
      <c r="H32" s="647"/>
      <c r="I32" s="647"/>
      <c r="J32" s="647"/>
      <c r="K32" s="647"/>
      <c r="L32" s="647"/>
      <c r="M32" s="647"/>
      <c r="N32" s="45"/>
      <c r="O32" s="45"/>
      <c r="P32" s="45"/>
      <c r="Q32" s="45"/>
      <c r="R32" s="45"/>
      <c r="S32" s="45"/>
      <c r="T32" s="45"/>
      <c r="U32" s="12"/>
    </row>
    <row r="33" spans="2:21" x14ac:dyDescent="0.2">
      <c r="B33" s="84"/>
      <c r="C33" s="111" t="s">
        <v>362</v>
      </c>
      <c r="D33" s="21"/>
      <c r="E33" s="21"/>
      <c r="F33" s="647"/>
      <c r="G33" s="647"/>
      <c r="H33" s="647"/>
      <c r="I33" s="647"/>
      <c r="J33" s="647"/>
      <c r="K33" s="647"/>
      <c r="L33" s="45"/>
      <c r="M33" s="111" t="s">
        <v>363</v>
      </c>
      <c r="N33" s="21"/>
      <c r="O33" s="21"/>
      <c r="P33" s="647"/>
      <c r="Q33" s="45"/>
      <c r="R33" s="45"/>
      <c r="S33" s="45"/>
      <c r="T33" s="45"/>
      <c r="U33" s="12"/>
    </row>
    <row r="34" spans="2:21" ht="29" x14ac:dyDescent="0.2">
      <c r="B34" s="84"/>
      <c r="C34" s="388" t="s">
        <v>364</v>
      </c>
      <c r="D34" s="388" t="s">
        <v>365</v>
      </c>
      <c r="E34" s="388" t="s">
        <v>366</v>
      </c>
      <c r="F34" s="388" t="s">
        <v>367</v>
      </c>
      <c r="G34" s="388" t="s">
        <v>368</v>
      </c>
      <c r="H34" s="647"/>
      <c r="I34" s="647"/>
      <c r="J34" s="647"/>
      <c r="K34" s="647"/>
      <c r="L34" s="45"/>
      <c r="M34" s="388" t="s">
        <v>364</v>
      </c>
      <c r="N34" s="388" t="s">
        <v>365</v>
      </c>
      <c r="O34" s="388" t="s">
        <v>366</v>
      </c>
      <c r="P34" s="388" t="s">
        <v>367</v>
      </c>
      <c r="Q34" s="388" t="s">
        <v>368</v>
      </c>
      <c r="R34" s="45"/>
      <c r="S34" s="45"/>
      <c r="T34" s="45"/>
      <c r="U34" s="12"/>
    </row>
    <row r="35" spans="2:21" x14ac:dyDescent="0.2">
      <c r="B35" s="84"/>
      <c r="C35" s="42" t="s">
        <v>369</v>
      </c>
      <c r="D35" s="891">
        <v>4.9174520547945209E-2</v>
      </c>
      <c r="E35" s="231">
        <v>1300</v>
      </c>
      <c r="F35" s="373" t="str" cm="1">
        <f t="array" ref="F35">_xlfn.SWITCH(C35,'GWP Ref Tables'!D8,'GWP Ref Tables'!E8,'GWP Ref Tables'!D9,CH4_GWP,'GWP Ref Tables'!D10,N2O_GWP,'GWP Ref Tables'!D11,'GWP Ref Tables'!E11,'GWP Ref Tables'!D12,'GWP Ref Tables'!E12,"")</f>
        <v/>
      </c>
      <c r="G35" s="373">
        <f>IF(C35&lt;&gt;"",D35*E35,"")</f>
        <v>63.92687671232877</v>
      </c>
      <c r="H35" s="45"/>
      <c r="I35" s="45"/>
      <c r="J35" s="45"/>
      <c r="K35" s="45"/>
      <c r="L35" s="45"/>
      <c r="M35" s="42"/>
      <c r="N35" s="231"/>
      <c r="O35" s="231"/>
      <c r="P35" s="373" t="str" cm="1">
        <f t="array" ref="P35">_xlfn.SWITCH(M35,'GWP Ref Tables'!D8,'GWP Ref Tables'!E8,'GWP Ref Tables'!D9,CH4_GWP,'GWP Ref Tables'!D10,N2O_GWP,'GWP Ref Tables'!D11,'GWP Ref Tables'!E11,'GWP Ref Tables'!D12,'GWP Ref Tables'!E12,"")</f>
        <v/>
      </c>
      <c r="Q35" s="373" t="str">
        <f>IF(M35&lt;&gt;"",N35*O35,"")</f>
        <v/>
      </c>
      <c r="R35" s="45"/>
      <c r="S35" s="45"/>
      <c r="T35" s="45"/>
      <c r="U35" s="12"/>
    </row>
    <row r="36" spans="2:21" x14ac:dyDescent="0.2">
      <c r="B36" s="84"/>
      <c r="C36" s="791"/>
      <c r="D36" s="792"/>
      <c r="E36" s="792"/>
      <c r="F36" s="373" t="str" cm="1">
        <f t="array" ref="F36">_xlfn.SWITCH(C36,'GWP Ref Tables'!D8,'GWP Ref Tables'!E8,'GWP Ref Tables'!D9,CH4_GWP,'GWP Ref Tables'!D10,N2O_GWP,'GWP Ref Tables'!D11,'GWP Ref Tables'!E11,'GWP Ref Tables'!D12,'GWP Ref Tables'!E12,"")</f>
        <v/>
      </c>
      <c r="G36" s="373" t="str">
        <f>IF(C36&lt;&gt;"",D36*E36,"")</f>
        <v/>
      </c>
      <c r="H36" s="45"/>
      <c r="I36" s="45"/>
      <c r="J36" s="45"/>
      <c r="K36" s="45"/>
      <c r="L36" s="45"/>
      <c r="M36" s="42"/>
      <c r="N36" s="231"/>
      <c r="O36" s="231"/>
      <c r="P36" s="373" cm="1">
        <f t="array" ref="P36">_xlfn.SWITCH(M36,'GWP Ref Tables'!D9,'GWP Ref Tables'!E9,'GWP Ref Tables'!D10,CH4_GWP,'GWP Ref Tables'!D11,N2O_GWP,'GWP Ref Tables'!D12,'GWP Ref Tables'!E12,'GWP Ref Tables'!D13,'GWP Ref Tables'!E13,"")</f>
        <v>0</v>
      </c>
      <c r="Q36" s="373" t="str">
        <f>IF(M36&lt;&gt;"",N36*O36,"")</f>
        <v/>
      </c>
      <c r="R36" s="45"/>
      <c r="S36" s="45"/>
      <c r="T36" s="45"/>
      <c r="U36" s="12"/>
    </row>
    <row r="37" spans="2:21" x14ac:dyDescent="0.2">
      <c r="B37" s="84"/>
      <c r="C37" s="791"/>
      <c r="D37" s="792"/>
      <c r="E37" s="792"/>
      <c r="F37" s="373" t="str" cm="1">
        <f t="array" ref="F37">_xlfn.SWITCH(C37,'GWP Ref Tables'!D8,'GWP Ref Tables'!E8,'GWP Ref Tables'!D9,CH4_GWP,'GWP Ref Tables'!D10,N2O_GWP,'GWP Ref Tables'!D11,'GWP Ref Tables'!E11,'GWP Ref Tables'!D12,'GWP Ref Tables'!E12,"")</f>
        <v/>
      </c>
      <c r="G37" s="373" t="str">
        <f>IF(C37&lt;&gt;"",D37*E37,"")</f>
        <v/>
      </c>
      <c r="H37" s="45"/>
      <c r="I37" s="45"/>
      <c r="J37" s="45"/>
      <c r="K37" s="45"/>
      <c r="L37" s="45"/>
      <c r="M37" s="42"/>
      <c r="N37" s="231"/>
      <c r="O37" s="231"/>
      <c r="P37" s="373" cm="1">
        <f t="array" ref="P37">_xlfn.SWITCH(M37,'GWP Ref Tables'!D10,'GWP Ref Tables'!E10,'GWP Ref Tables'!D11,CH4_GWP,'GWP Ref Tables'!D12,N2O_GWP,'GWP Ref Tables'!D13,'GWP Ref Tables'!E13,'GWP Ref Tables'!D14,'GWP Ref Tables'!E14,"")</f>
        <v>0</v>
      </c>
      <c r="Q37" s="373" t="str">
        <f>IF(M37&lt;&gt;"",N37*O37,"")</f>
        <v/>
      </c>
      <c r="R37" s="45"/>
      <c r="S37" s="45"/>
      <c r="T37" s="45"/>
      <c r="U37" s="12"/>
    </row>
    <row r="38" spans="2:21" x14ac:dyDescent="0.2">
      <c r="B38" s="47"/>
      <c r="C38" s="58"/>
      <c r="D38" s="389"/>
      <c r="F38" s="58" t="s">
        <v>370</v>
      </c>
      <c r="G38" s="373">
        <f>SUM(G35:G37)</f>
        <v>63.92687671232877</v>
      </c>
      <c r="H38" s="45"/>
      <c r="I38" s="45"/>
      <c r="J38" s="45"/>
      <c r="K38" s="45"/>
      <c r="L38" s="45"/>
      <c r="M38" s="58"/>
      <c r="N38" s="389"/>
      <c r="P38" s="58" t="s">
        <v>371</v>
      </c>
      <c r="Q38" s="373">
        <f>SUM(Q35:Q37)</f>
        <v>0</v>
      </c>
      <c r="R38" s="45"/>
      <c r="S38" s="45"/>
      <c r="T38" s="45"/>
      <c r="U38" s="12"/>
    </row>
    <row r="39" spans="2:21" x14ac:dyDescent="0.2">
      <c r="B39" s="47"/>
      <c r="C39" s="58"/>
      <c r="D39" s="389"/>
      <c r="E39" s="58"/>
      <c r="F39" s="452"/>
      <c r="G39" s="452"/>
      <c r="H39" s="45"/>
      <c r="I39" s="45"/>
      <c r="J39" s="45"/>
      <c r="K39" s="45"/>
      <c r="M39" s="58"/>
      <c r="N39" s="389"/>
      <c r="O39" s="58"/>
      <c r="P39" s="452"/>
      <c r="Q39" s="45"/>
      <c r="R39" s="45"/>
      <c r="S39" s="45"/>
      <c r="T39" s="45"/>
      <c r="U39" s="12"/>
    </row>
    <row r="40" spans="2:21" ht="15" customHeight="1" x14ac:dyDescent="0.2">
      <c r="B40" s="84"/>
      <c r="C40" s="1299" t="s">
        <v>372</v>
      </c>
      <c r="D40" s="1299"/>
      <c r="E40" s="1299"/>
      <c r="F40" s="1299"/>
      <c r="G40" s="1299"/>
      <c r="H40" s="1299"/>
      <c r="I40" s="1299"/>
      <c r="J40" s="1299"/>
      <c r="K40" s="1299"/>
      <c r="L40" s="1299"/>
      <c r="M40" s="1299"/>
      <c r="N40" s="1299"/>
      <c r="O40" s="1299"/>
      <c r="P40" s="1299"/>
      <c r="Q40" s="45"/>
      <c r="R40" s="45"/>
      <c r="S40" s="45"/>
      <c r="T40" s="45"/>
      <c r="U40" s="12"/>
    </row>
    <row r="41" spans="2:21" x14ac:dyDescent="0.2">
      <c r="B41" s="84"/>
      <c r="C41" s="557" t="s">
        <v>373</v>
      </c>
      <c r="D41" s="653"/>
      <c r="E41" s="653"/>
      <c r="F41" s="653"/>
      <c r="G41" s="653"/>
      <c r="H41" s="45"/>
      <c r="I41" s="45"/>
      <c r="J41" s="45"/>
      <c r="K41" s="45"/>
      <c r="L41" s="99"/>
      <c r="M41" s="45"/>
      <c r="N41" s="45"/>
      <c r="O41" s="45"/>
      <c r="P41" s="45"/>
      <c r="Q41" s="45"/>
      <c r="R41" s="45"/>
      <c r="S41" s="45"/>
      <c r="T41" s="45"/>
      <c r="U41" s="12"/>
    </row>
    <row r="42" spans="2:21" x14ac:dyDescent="0.2">
      <c r="B42" s="88"/>
      <c r="C42" s="89"/>
      <c r="D42" s="89"/>
      <c r="E42" s="89"/>
      <c r="F42" s="89"/>
      <c r="G42" s="89"/>
      <c r="H42" s="89"/>
      <c r="I42" s="89"/>
      <c r="J42" s="89"/>
      <c r="K42" s="89"/>
      <c r="L42" s="89"/>
      <c r="M42" s="89"/>
      <c r="N42" s="89"/>
      <c r="O42" s="89"/>
      <c r="P42" s="89"/>
      <c r="Q42" s="89"/>
      <c r="R42" s="89"/>
      <c r="S42" s="89"/>
      <c r="T42" s="89"/>
      <c r="U42" s="90"/>
    </row>
    <row r="43" spans="2:21" ht="18" x14ac:dyDescent="0.2">
      <c r="B43" s="1163" t="s">
        <v>122</v>
      </c>
      <c r="C43" s="1165"/>
      <c r="D43" s="1165"/>
      <c r="E43" s="1165"/>
      <c r="F43" s="1165"/>
      <c r="G43" s="1165"/>
      <c r="H43" s="1165"/>
      <c r="I43" s="1165"/>
      <c r="J43" s="1165"/>
      <c r="K43" s="1165"/>
      <c r="L43" s="1165"/>
      <c r="M43" s="1165"/>
      <c r="N43" s="1165"/>
      <c r="O43" s="1165"/>
      <c r="P43" s="1165"/>
      <c r="Q43" s="644"/>
      <c r="R43" s="96"/>
      <c r="S43" s="96"/>
      <c r="T43" s="96"/>
      <c r="U43" s="97"/>
    </row>
    <row r="44" spans="2:21" ht="18" x14ac:dyDescent="0.2">
      <c r="B44" s="603"/>
      <c r="C44" s="597"/>
      <c r="D44" s="597"/>
      <c r="E44" s="597"/>
      <c r="F44" s="597"/>
      <c r="G44" s="597"/>
      <c r="H44" s="597"/>
      <c r="I44" s="597"/>
      <c r="J44" s="597"/>
      <c r="K44" s="597"/>
      <c r="L44" s="597"/>
      <c r="M44" s="597"/>
      <c r="N44" s="597"/>
      <c r="O44" s="597"/>
      <c r="P44" s="597"/>
      <c r="Q44" s="597"/>
      <c r="R44" s="45"/>
      <c r="S44" s="45"/>
      <c r="T44" s="45"/>
      <c r="U44" s="12"/>
    </row>
    <row r="45" spans="2:21" ht="15" customHeight="1" x14ac:dyDescent="0.2">
      <c r="B45" s="1145" t="s">
        <v>123</v>
      </c>
      <c r="C45" s="1207" t="s">
        <v>374</v>
      </c>
      <c r="D45" s="1208"/>
      <c r="E45" s="1208"/>
      <c r="F45" s="1208"/>
      <c r="G45" s="1208"/>
      <c r="H45" s="1208"/>
      <c r="I45" s="1208"/>
      <c r="J45" s="1208"/>
      <c r="K45" s="1208"/>
      <c r="L45" s="1208"/>
      <c r="M45" s="1208"/>
      <c r="N45" s="1208"/>
      <c r="O45" s="1208"/>
      <c r="P45" s="1209"/>
      <c r="Q45" s="24"/>
      <c r="R45" s="24"/>
      <c r="S45" s="24"/>
      <c r="T45" s="24"/>
      <c r="U45" s="12"/>
    </row>
    <row r="46" spans="2:21" x14ac:dyDescent="0.2">
      <c r="B46" s="1145"/>
      <c r="C46" s="1300" t="s">
        <v>375</v>
      </c>
      <c r="D46" s="1301"/>
      <c r="E46" s="1301"/>
      <c r="F46" s="1301"/>
      <c r="G46" s="1301"/>
      <c r="H46" s="1301"/>
      <c r="I46" s="1301"/>
      <c r="J46" s="1301"/>
      <c r="K46" s="1301"/>
      <c r="L46" s="1301"/>
      <c r="M46" s="1301"/>
      <c r="N46" s="1301"/>
      <c r="O46" s="1301"/>
      <c r="P46" s="1302"/>
      <c r="Q46" s="24"/>
      <c r="R46" s="24"/>
      <c r="S46" s="24"/>
      <c r="T46" s="24"/>
      <c r="U46" s="12"/>
    </row>
    <row r="47" spans="2:21" x14ac:dyDescent="0.2">
      <c r="B47" s="1145"/>
      <c r="C47" s="1300" t="s">
        <v>376</v>
      </c>
      <c r="D47" s="1301"/>
      <c r="E47" s="1301"/>
      <c r="F47" s="1301"/>
      <c r="G47" s="1301"/>
      <c r="H47" s="1301"/>
      <c r="I47" s="1301"/>
      <c r="J47" s="1301"/>
      <c r="K47" s="1301"/>
      <c r="L47" s="1301"/>
      <c r="M47" s="1301"/>
      <c r="N47" s="1301"/>
      <c r="O47" s="1301"/>
      <c r="P47" s="1302"/>
      <c r="Q47" s="24"/>
      <c r="R47" s="24"/>
      <c r="S47" s="24"/>
      <c r="T47" s="24"/>
      <c r="U47" s="12"/>
    </row>
    <row r="48" spans="2:21" x14ac:dyDescent="0.2">
      <c r="B48" s="1145"/>
      <c r="C48" s="1207"/>
      <c r="D48" s="1208"/>
      <c r="E48" s="1208"/>
      <c r="F48" s="1208"/>
      <c r="G48" s="1208"/>
      <c r="H48" s="1208"/>
      <c r="I48" s="1208"/>
      <c r="J48" s="1208"/>
      <c r="K48" s="1208"/>
      <c r="L48" s="1208"/>
      <c r="M48" s="1208"/>
      <c r="N48" s="1208"/>
      <c r="O48" s="1208"/>
      <c r="P48" s="1209"/>
      <c r="Q48" s="24"/>
      <c r="R48" s="24"/>
      <c r="S48" s="24"/>
      <c r="T48" s="24"/>
      <c r="U48" s="12"/>
    </row>
    <row r="49" spans="2:21" x14ac:dyDescent="0.2">
      <c r="B49" s="1145"/>
      <c r="C49" s="1207"/>
      <c r="D49" s="1208"/>
      <c r="E49" s="1208"/>
      <c r="F49" s="1208"/>
      <c r="G49" s="1208"/>
      <c r="H49" s="1208"/>
      <c r="I49" s="1208"/>
      <c r="J49" s="1208"/>
      <c r="K49" s="1208"/>
      <c r="L49" s="1208"/>
      <c r="M49" s="1208"/>
      <c r="N49" s="1208"/>
      <c r="O49" s="1208"/>
      <c r="P49" s="1209"/>
      <c r="Q49" s="24"/>
      <c r="R49" s="24"/>
      <c r="S49" s="24"/>
      <c r="T49" s="24"/>
      <c r="U49" s="12"/>
    </row>
    <row r="50" spans="2:21" x14ac:dyDescent="0.2">
      <c r="B50" s="2"/>
      <c r="C50" s="3"/>
      <c r="D50" s="3"/>
      <c r="E50" s="3"/>
      <c r="F50" s="3"/>
      <c r="G50" s="3"/>
      <c r="H50" s="3"/>
      <c r="I50" s="3"/>
      <c r="J50" s="3"/>
      <c r="K50" s="3"/>
      <c r="L50" s="3"/>
      <c r="M50" s="3"/>
      <c r="N50" s="3"/>
      <c r="O50" s="3"/>
      <c r="P50" s="3"/>
      <c r="Q50" s="3"/>
      <c r="R50" s="89"/>
      <c r="S50" s="89"/>
      <c r="T50" s="89"/>
      <c r="U50" s="90"/>
    </row>
    <row r="51" spans="2:21" ht="18" x14ac:dyDescent="0.2">
      <c r="B51" s="1163" t="s">
        <v>170</v>
      </c>
      <c r="C51" s="1165"/>
      <c r="D51" s="1165"/>
      <c r="E51" s="1165"/>
      <c r="F51" s="1165"/>
      <c r="G51" s="1165"/>
      <c r="H51" s="1165"/>
      <c r="I51" s="1165"/>
      <c r="J51" s="1165"/>
      <c r="K51" s="1165"/>
      <c r="L51" s="1165"/>
      <c r="M51" s="1165"/>
      <c r="N51" s="1165"/>
      <c r="O51" s="1165"/>
      <c r="P51" s="1165"/>
      <c r="Q51" s="644"/>
      <c r="R51" s="96"/>
      <c r="S51" s="96"/>
      <c r="T51" s="96"/>
      <c r="U51" s="97"/>
    </row>
    <row r="52" spans="2:21" x14ac:dyDescent="0.2">
      <c r="B52" s="7" t="s">
        <v>171</v>
      </c>
      <c r="C52" s="18"/>
      <c r="D52" s="148"/>
      <c r="E52" s="148"/>
      <c r="F52" s="148"/>
      <c r="G52" s="148"/>
      <c r="H52" s="148"/>
      <c r="I52" s="148"/>
      <c r="J52" s="148"/>
      <c r="K52" s="148"/>
      <c r="L52" s="148"/>
      <c r="M52" s="148"/>
      <c r="N52" s="148"/>
      <c r="O52" s="148"/>
      <c r="P52" s="148"/>
      <c r="Q52" s="148"/>
      <c r="R52" s="21"/>
      <c r="S52" s="21"/>
      <c r="T52" s="21"/>
      <c r="U52" s="26"/>
    </row>
    <row r="53" spans="2:21" ht="16" thickBot="1" x14ac:dyDescent="0.25">
      <c r="B53" s="1294" t="s">
        <v>377</v>
      </c>
      <c r="C53" s="1295"/>
      <c r="D53" s="1295"/>
      <c r="E53" s="1295"/>
      <c r="F53" s="1295"/>
      <c r="G53" s="1295"/>
      <c r="H53" s="1295"/>
      <c r="I53" s="1295"/>
      <c r="J53" s="1295"/>
      <c r="K53" s="148"/>
      <c r="L53" s="148"/>
      <c r="M53" s="148"/>
      <c r="N53" s="148"/>
      <c r="O53" s="148"/>
      <c r="P53" s="148"/>
      <c r="Q53" s="148"/>
      <c r="R53" s="21"/>
      <c r="S53" s="21"/>
      <c r="T53" s="21"/>
      <c r="U53" s="26"/>
    </row>
    <row r="54" spans="2:21" ht="16" thickBot="1" x14ac:dyDescent="0.25">
      <c r="B54" s="1305" t="s">
        <v>226</v>
      </c>
      <c r="C54" s="1306"/>
      <c r="D54" s="1306"/>
      <c r="E54" s="1306"/>
      <c r="F54" s="1306"/>
      <c r="G54" s="1307"/>
      <c r="H54" s="1308" t="s">
        <v>236</v>
      </c>
      <c r="I54" s="1308"/>
      <c r="J54" s="1309"/>
      <c r="K54" s="148"/>
      <c r="L54" s="148"/>
      <c r="M54" s="148"/>
      <c r="N54" s="148"/>
      <c r="O54" s="148"/>
      <c r="P54" s="148"/>
      <c r="Q54" s="148"/>
      <c r="R54" s="21"/>
      <c r="S54" s="21"/>
      <c r="T54" s="21"/>
      <c r="U54" s="26"/>
    </row>
    <row r="55" spans="2:21" x14ac:dyDescent="0.2">
      <c r="B55" s="902" t="s">
        <v>227</v>
      </c>
      <c r="C55" s="903" t="s">
        <v>144</v>
      </c>
      <c r="D55" s="904" t="s">
        <v>228</v>
      </c>
      <c r="E55" s="905" t="s">
        <v>229</v>
      </c>
      <c r="F55" s="904" t="s">
        <v>230</v>
      </c>
      <c r="G55" s="906" t="s">
        <v>378</v>
      </c>
      <c r="H55" s="907">
        <v>30</v>
      </c>
      <c r="I55" s="866" t="s">
        <v>237</v>
      </c>
      <c r="J55" s="866"/>
      <c r="K55" s="148"/>
      <c r="L55" s="148"/>
      <c r="M55" s="148"/>
      <c r="N55" s="148"/>
      <c r="O55" s="148"/>
      <c r="P55" s="148"/>
      <c r="Q55" s="148"/>
      <c r="R55" s="21"/>
      <c r="S55" s="21"/>
      <c r="T55" s="21"/>
      <c r="U55" s="26"/>
    </row>
    <row r="56" spans="2:21" x14ac:dyDescent="0.2">
      <c r="B56" s="908" t="s">
        <v>198</v>
      </c>
      <c r="C56" s="18" t="s">
        <v>195</v>
      </c>
      <c r="D56" s="148">
        <v>36.6</v>
      </c>
      <c r="E56" s="148">
        <f>D56*366.3/5</f>
        <v>2681.3160000000003</v>
      </c>
      <c r="F56" s="148">
        <f>E56/$H$63</f>
        <v>0.36730356164383565</v>
      </c>
      <c r="G56" s="909" t="s">
        <v>379</v>
      </c>
      <c r="H56" s="910">
        <v>293.07107000000002</v>
      </c>
      <c r="I56" s="870" t="s">
        <v>240</v>
      </c>
      <c r="J56" s="870"/>
      <c r="K56" s="148"/>
      <c r="L56" s="148"/>
      <c r="M56" s="148"/>
      <c r="N56" s="148"/>
      <c r="O56" s="148"/>
      <c r="P56" s="148"/>
      <c r="Q56" s="148"/>
      <c r="R56" s="21"/>
      <c r="S56" s="21"/>
      <c r="T56" s="21"/>
      <c r="U56" s="26"/>
    </row>
    <row r="57" spans="2:21" x14ac:dyDescent="0.2">
      <c r="B57" s="908" t="s">
        <v>200</v>
      </c>
      <c r="C57" s="18" t="s">
        <v>195</v>
      </c>
      <c r="D57" s="148">
        <v>16</v>
      </c>
      <c r="E57" s="148">
        <f t="shared" ref="E57:E65" si="8">D57*366.3/5</f>
        <v>1172.1600000000001</v>
      </c>
      <c r="F57" s="148">
        <f t="shared" ref="F57:F65" si="9">E57/$H$63</f>
        <v>0.16056986301369863</v>
      </c>
      <c r="G57" s="909" t="s">
        <v>379</v>
      </c>
      <c r="H57" s="911">
        <f>H55*H56</f>
        <v>8792.1321000000007</v>
      </c>
      <c r="I57" s="873" t="s">
        <v>242</v>
      </c>
      <c r="J57" s="873"/>
      <c r="K57" s="148"/>
      <c r="L57" s="148"/>
      <c r="M57" s="148"/>
      <c r="N57" s="148"/>
      <c r="O57" s="148"/>
      <c r="P57" s="148"/>
      <c r="Q57" s="148"/>
      <c r="R57" s="21"/>
      <c r="S57" s="21"/>
      <c r="T57" s="21"/>
      <c r="U57" s="26"/>
    </row>
    <row r="58" spans="2:21" x14ac:dyDescent="0.2">
      <c r="B58" s="908" t="s">
        <v>202</v>
      </c>
      <c r="C58" s="18" t="s">
        <v>195</v>
      </c>
      <c r="D58" s="148">
        <v>0.5</v>
      </c>
      <c r="E58" s="148">
        <f t="shared" si="8"/>
        <v>36.630000000000003</v>
      </c>
      <c r="F58" s="148">
        <f t="shared" si="9"/>
        <v>5.0178082191780823E-3</v>
      </c>
      <c r="G58" s="909" t="s">
        <v>379</v>
      </c>
      <c r="H58" s="912">
        <f>H57/24</f>
        <v>366.33883750000001</v>
      </c>
      <c r="I58" s="870" t="s">
        <v>244</v>
      </c>
      <c r="J58" s="870"/>
      <c r="K58" s="148"/>
      <c r="L58" s="148"/>
      <c r="M58" s="148"/>
      <c r="N58" s="148"/>
      <c r="O58" s="148"/>
      <c r="P58" s="148"/>
      <c r="Q58" s="148"/>
      <c r="R58" s="21"/>
      <c r="S58" s="21"/>
      <c r="T58" s="21"/>
      <c r="U58" s="26"/>
    </row>
    <row r="59" spans="2:21" x14ac:dyDescent="0.2">
      <c r="B59" s="908" t="s">
        <v>204</v>
      </c>
      <c r="C59" s="18" t="s">
        <v>195</v>
      </c>
      <c r="D59" s="148">
        <v>32</v>
      </c>
      <c r="E59" s="148">
        <f t="shared" si="8"/>
        <v>2344.3200000000002</v>
      </c>
      <c r="F59" s="148">
        <f t="shared" si="9"/>
        <v>0.32113972602739727</v>
      </c>
      <c r="G59" s="909" t="s">
        <v>379</v>
      </c>
      <c r="H59" s="148"/>
      <c r="I59" s="148"/>
      <c r="J59" s="148"/>
      <c r="K59" s="148"/>
      <c r="L59" s="148"/>
      <c r="M59" s="148"/>
      <c r="N59" s="148"/>
      <c r="O59" s="148"/>
      <c r="P59" s="148"/>
      <c r="Q59" s="148"/>
      <c r="R59" s="21"/>
      <c r="S59" s="21"/>
      <c r="T59" s="21"/>
      <c r="U59" s="26"/>
    </row>
    <row r="60" spans="2:21" ht="16" thickBot="1" x14ac:dyDescent="0.25">
      <c r="B60" s="908" t="s">
        <v>234</v>
      </c>
      <c r="C60" s="18" t="s">
        <v>195</v>
      </c>
      <c r="D60" s="148">
        <v>2.7</v>
      </c>
      <c r="E60" s="148">
        <f t="shared" si="8"/>
        <v>197.80200000000002</v>
      </c>
      <c r="F60" s="148">
        <f t="shared" si="9"/>
        <v>2.7096164383561647E-2</v>
      </c>
      <c r="G60" s="909" t="s">
        <v>379</v>
      </c>
      <c r="H60" s="148"/>
      <c r="I60" s="148"/>
      <c r="J60" s="148"/>
      <c r="K60" s="148"/>
      <c r="L60" s="148"/>
      <c r="M60" s="148"/>
      <c r="N60" s="148"/>
      <c r="O60" s="148"/>
      <c r="P60" s="148"/>
      <c r="Q60" s="148"/>
      <c r="R60" s="21"/>
      <c r="S60" s="21"/>
      <c r="T60" s="21"/>
      <c r="U60" s="26"/>
    </row>
    <row r="61" spans="2:21" ht="16" thickBot="1" x14ac:dyDescent="0.25">
      <c r="B61" s="908" t="s">
        <v>380</v>
      </c>
      <c r="C61" s="18" t="s">
        <v>381</v>
      </c>
      <c r="D61" s="148">
        <v>504</v>
      </c>
      <c r="E61" s="148">
        <f t="shared" si="8"/>
        <v>36923.040000000001</v>
      </c>
      <c r="F61" s="148">
        <f t="shared" si="9"/>
        <v>5.057950684931507</v>
      </c>
      <c r="G61" s="148" t="s">
        <v>382</v>
      </c>
      <c r="H61" s="1310" t="s">
        <v>250</v>
      </c>
      <c r="I61" s="1287"/>
      <c r="J61" s="1311"/>
      <c r="K61" s="148"/>
      <c r="L61" s="148"/>
      <c r="M61" s="148"/>
      <c r="N61" s="148"/>
      <c r="O61" s="148"/>
      <c r="P61" s="148"/>
      <c r="Q61" s="148"/>
      <c r="R61" s="21"/>
      <c r="S61" s="21"/>
      <c r="T61" s="21"/>
      <c r="U61" s="26"/>
    </row>
    <row r="62" spans="2:21" x14ac:dyDescent="0.2">
      <c r="B62" s="908" t="s">
        <v>348</v>
      </c>
      <c r="C62" s="18" t="s">
        <v>381</v>
      </c>
      <c r="D62" s="148">
        <v>1400</v>
      </c>
      <c r="E62" s="148">
        <f t="shared" si="8"/>
        <v>102564</v>
      </c>
      <c r="F62" s="148">
        <f t="shared" si="9"/>
        <v>14.04986301369863</v>
      </c>
      <c r="G62" s="148" t="s">
        <v>382</v>
      </c>
      <c r="H62" s="913">
        <v>20</v>
      </c>
      <c r="I62" s="879" t="s">
        <v>253</v>
      </c>
      <c r="J62" s="914"/>
      <c r="K62" s="148"/>
      <c r="L62" s="148"/>
      <c r="M62" s="148"/>
      <c r="N62" s="148"/>
      <c r="O62" s="148"/>
      <c r="P62" s="148"/>
      <c r="Q62" s="148"/>
      <c r="R62" s="21"/>
      <c r="S62" s="21"/>
      <c r="T62" s="21"/>
      <c r="U62" s="26"/>
    </row>
    <row r="63" spans="2:21" ht="16" thickBot="1" x14ac:dyDescent="0.25">
      <c r="B63" s="908" t="s">
        <v>208</v>
      </c>
      <c r="C63" s="18" t="s">
        <v>195</v>
      </c>
      <c r="D63" s="148">
        <v>1.6</v>
      </c>
      <c r="E63" s="148">
        <f t="shared" si="8"/>
        <v>117.21600000000001</v>
      </c>
      <c r="F63" s="148">
        <f t="shared" si="9"/>
        <v>1.6056986301369865E-2</v>
      </c>
      <c r="G63" s="148" t="s">
        <v>379</v>
      </c>
      <c r="H63" s="915">
        <f>20*365</f>
        <v>7300</v>
      </c>
      <c r="I63" s="916" t="s">
        <v>254</v>
      </c>
      <c r="J63" s="917"/>
      <c r="K63" s="148"/>
      <c r="L63" s="148"/>
      <c r="M63" s="148"/>
      <c r="N63" s="148"/>
      <c r="O63" s="148"/>
      <c r="P63" s="148"/>
      <c r="Q63" s="148"/>
      <c r="R63" s="21"/>
      <c r="S63" s="21"/>
      <c r="T63" s="21"/>
      <c r="U63" s="26"/>
    </row>
    <row r="64" spans="2:21" x14ac:dyDescent="0.2">
      <c r="B64" s="908" t="s">
        <v>369</v>
      </c>
      <c r="C64" s="18" t="s">
        <v>195</v>
      </c>
      <c r="D64" s="148">
        <v>4.9000000000000004</v>
      </c>
      <c r="E64" s="148">
        <f t="shared" si="8"/>
        <v>358.97400000000005</v>
      </c>
      <c r="F64" s="148">
        <f t="shared" si="9"/>
        <v>4.9174520547945209E-2</v>
      </c>
      <c r="G64" s="909" t="s">
        <v>379</v>
      </c>
      <c r="H64" s="148"/>
      <c r="I64" s="148"/>
      <c r="J64" s="148"/>
      <c r="K64" s="148"/>
      <c r="L64" s="148"/>
      <c r="M64" s="148"/>
      <c r="N64" s="148"/>
      <c r="O64" s="148"/>
      <c r="P64" s="148"/>
      <c r="Q64" s="148"/>
      <c r="R64" s="21"/>
      <c r="S64" s="21"/>
      <c r="T64" s="21"/>
      <c r="U64" s="26"/>
    </row>
    <row r="65" spans="2:21" ht="16" thickBot="1" x14ac:dyDescent="0.25">
      <c r="B65" s="918" t="s">
        <v>210</v>
      </c>
      <c r="C65" s="919" t="s">
        <v>195</v>
      </c>
      <c r="D65" s="916">
        <v>130</v>
      </c>
      <c r="E65" s="916">
        <f t="shared" si="8"/>
        <v>9523.7999999999993</v>
      </c>
      <c r="F65" s="916">
        <f t="shared" si="9"/>
        <v>1.3046301369863014</v>
      </c>
      <c r="G65" s="917" t="s">
        <v>379</v>
      </c>
      <c r="H65" s="148"/>
      <c r="I65" s="148"/>
      <c r="J65" s="148"/>
      <c r="K65" s="148"/>
      <c r="L65" s="148"/>
      <c r="M65" s="148"/>
      <c r="N65" s="148"/>
      <c r="O65" s="148"/>
      <c r="P65" s="148"/>
      <c r="Q65" s="148"/>
      <c r="R65" s="21"/>
      <c r="S65" s="21"/>
      <c r="T65" s="21"/>
      <c r="U65" s="26"/>
    </row>
    <row r="66" spans="2:21" ht="16" thickBot="1" x14ac:dyDescent="0.25">
      <c r="B66" s="7"/>
      <c r="C66" s="18"/>
      <c r="D66" s="148"/>
      <c r="E66" s="148"/>
      <c r="F66" s="148"/>
      <c r="G66" s="148"/>
      <c r="H66" s="148"/>
      <c r="I66" s="148"/>
      <c r="J66" s="148"/>
      <c r="K66" s="148"/>
      <c r="L66" s="148"/>
      <c r="M66" s="148"/>
      <c r="N66" s="148"/>
      <c r="O66" s="148"/>
      <c r="P66" s="148"/>
      <c r="Q66" s="148"/>
      <c r="R66" s="21"/>
      <c r="S66" s="21"/>
      <c r="T66" s="21"/>
      <c r="U66" s="26"/>
    </row>
    <row r="67" spans="2:21" ht="16" thickBot="1" x14ac:dyDescent="0.25">
      <c r="B67" s="1312" t="s">
        <v>235</v>
      </c>
      <c r="C67" s="1313"/>
      <c r="D67" s="1313"/>
      <c r="E67" s="1313"/>
      <c r="F67" s="1313"/>
      <c r="G67" s="1314"/>
      <c r="H67" s="148"/>
      <c r="I67" s="148"/>
      <c r="J67" s="148"/>
      <c r="K67" s="148"/>
      <c r="L67" s="148"/>
      <c r="M67" s="148"/>
      <c r="N67" s="148"/>
      <c r="O67" s="148"/>
      <c r="P67" s="148"/>
      <c r="Q67" s="148"/>
      <c r="R67" s="21"/>
      <c r="S67" s="21"/>
      <c r="T67" s="21"/>
      <c r="U67" s="26"/>
    </row>
    <row r="68" spans="2:21" x14ac:dyDescent="0.2">
      <c r="B68" s="908"/>
      <c r="C68" s="18"/>
      <c r="D68" s="148"/>
      <c r="E68" s="148"/>
      <c r="F68" s="148"/>
      <c r="G68" s="909"/>
      <c r="H68" s="148"/>
      <c r="I68" s="148"/>
      <c r="J68" s="148"/>
      <c r="K68" s="148"/>
      <c r="L68" s="148"/>
      <c r="M68" s="148"/>
      <c r="N68" s="148"/>
      <c r="O68" s="148"/>
      <c r="P68" s="148"/>
      <c r="Q68" s="148"/>
      <c r="R68" s="21"/>
      <c r="S68" s="21"/>
      <c r="T68" s="21"/>
      <c r="U68" s="26"/>
    </row>
    <row r="69" spans="2:21" x14ac:dyDescent="0.2">
      <c r="B69" s="920" t="s">
        <v>238</v>
      </c>
      <c r="C69" s="18">
        <v>9.5E-4</v>
      </c>
      <c r="D69" s="148" t="s">
        <v>239</v>
      </c>
      <c r="E69" s="148"/>
      <c r="F69" s="148"/>
      <c r="G69" s="909"/>
      <c r="H69" s="148"/>
      <c r="I69" s="148"/>
      <c r="J69" s="148"/>
      <c r="K69" s="148"/>
      <c r="L69" s="148"/>
      <c r="M69" s="148"/>
      <c r="N69" s="148"/>
      <c r="O69" s="148"/>
      <c r="P69" s="148"/>
      <c r="Q69" s="148"/>
      <c r="R69" s="21"/>
      <c r="S69" s="21"/>
      <c r="T69" s="21"/>
      <c r="U69" s="26"/>
    </row>
    <row r="70" spans="2:21" x14ac:dyDescent="0.2">
      <c r="B70" s="921"/>
      <c r="C70" s="23"/>
      <c r="D70" s="23"/>
      <c r="E70" s="23"/>
      <c r="F70" s="23"/>
      <c r="G70" s="922"/>
      <c r="H70" s="23"/>
      <c r="I70" s="148"/>
      <c r="J70" s="148"/>
      <c r="K70" s="148"/>
      <c r="L70" s="148"/>
      <c r="M70" s="148"/>
      <c r="N70" s="148"/>
      <c r="O70" s="148"/>
      <c r="P70" s="148"/>
      <c r="Q70" s="148"/>
      <c r="R70" s="21"/>
      <c r="S70" s="21"/>
      <c r="T70" s="21"/>
      <c r="U70" s="26"/>
    </row>
    <row r="71" spans="2:21" ht="16" thickBot="1" x14ac:dyDescent="0.25">
      <c r="B71" s="923"/>
      <c r="C71" s="924"/>
      <c r="D71" s="924"/>
      <c r="E71" s="924"/>
      <c r="F71" s="924"/>
      <c r="G71" s="925"/>
      <c r="H71" s="23"/>
      <c r="I71" s="148"/>
      <c r="J71" s="148"/>
      <c r="K71" s="148"/>
      <c r="L71" s="148"/>
      <c r="M71" s="148"/>
      <c r="N71" s="148"/>
      <c r="O71" s="148"/>
      <c r="P71" s="148"/>
      <c r="Q71" s="148"/>
      <c r="R71" s="21"/>
      <c r="S71" s="21"/>
      <c r="T71" s="21"/>
      <c r="U71" s="26"/>
    </row>
    <row r="72" spans="2:21" x14ac:dyDescent="0.2">
      <c r="B72" s="7"/>
      <c r="C72" s="18"/>
      <c r="D72" s="148"/>
      <c r="E72" s="148"/>
      <c r="F72" s="148"/>
      <c r="G72" s="148"/>
      <c r="H72" s="148"/>
      <c r="I72" s="148"/>
      <c r="J72" s="148"/>
      <c r="K72" s="148"/>
      <c r="L72" s="148"/>
      <c r="M72" s="148"/>
      <c r="N72" s="148"/>
      <c r="O72" s="148"/>
      <c r="P72" s="148"/>
      <c r="Q72" s="148"/>
      <c r="R72" s="21"/>
      <c r="S72" s="21"/>
      <c r="T72" s="21"/>
      <c r="U72" s="26"/>
    </row>
    <row r="73" spans="2:21" x14ac:dyDescent="0.2">
      <c r="B73" s="1315" t="s">
        <v>383</v>
      </c>
      <c r="C73" s="1316"/>
      <c r="D73" s="1316"/>
      <c r="E73" s="1316"/>
      <c r="F73" s="1316"/>
      <c r="G73" s="1316"/>
      <c r="H73" s="1316"/>
      <c r="I73" s="1316"/>
      <c r="J73" s="148"/>
      <c r="K73" s="148"/>
      <c r="L73" s="148"/>
      <c r="M73" s="148"/>
      <c r="N73" s="148"/>
      <c r="O73" s="148"/>
      <c r="P73" s="148"/>
      <c r="Q73" s="148"/>
      <c r="R73" s="21"/>
      <c r="S73" s="21"/>
      <c r="T73" s="21"/>
      <c r="U73" s="26"/>
    </row>
    <row r="74" spans="2:21" x14ac:dyDescent="0.2">
      <c r="B74" s="1317" t="s">
        <v>384</v>
      </c>
      <c r="C74" s="1318"/>
      <c r="D74" s="1318"/>
      <c r="E74" s="1318"/>
      <c r="F74" s="1318"/>
      <c r="G74" s="1318"/>
      <c r="H74" s="1318"/>
      <c r="I74" s="1318"/>
      <c r="J74" s="148"/>
      <c r="K74" s="148"/>
      <c r="L74" s="148"/>
      <c r="M74" s="148"/>
      <c r="N74" s="148"/>
      <c r="O74" s="148"/>
      <c r="P74" s="148"/>
      <c r="Q74" s="148"/>
      <c r="R74" s="21"/>
      <c r="S74" s="21"/>
      <c r="T74" s="21"/>
      <c r="U74" s="26"/>
    </row>
    <row r="75" spans="2:21" ht="16" x14ac:dyDescent="0.2">
      <c r="B75" s="929" t="s">
        <v>86</v>
      </c>
      <c r="C75" s="927"/>
      <c r="D75" s="928"/>
      <c r="E75" s="928"/>
      <c r="F75" s="928"/>
      <c r="G75" s="928"/>
      <c r="H75" s="928"/>
      <c r="I75" s="928"/>
      <c r="J75" s="148"/>
      <c r="K75" s="148"/>
      <c r="L75" s="148"/>
      <c r="M75" s="148"/>
      <c r="N75" s="148"/>
      <c r="O75" s="148"/>
      <c r="P75" s="148"/>
      <c r="Q75" s="148"/>
      <c r="R75" s="21"/>
      <c r="S75" s="21"/>
      <c r="T75" s="21"/>
      <c r="U75" s="26"/>
    </row>
    <row r="76" spans="2:21" x14ac:dyDescent="0.2">
      <c r="B76" s="926">
        <v>5</v>
      </c>
      <c r="C76" s="927" t="s">
        <v>385</v>
      </c>
      <c r="D76" s="930"/>
      <c r="E76" s="927"/>
      <c r="F76" s="927"/>
      <c r="G76" s="928"/>
      <c r="H76" s="928"/>
      <c r="I76" s="928"/>
      <c r="J76" s="148"/>
      <c r="K76" s="148"/>
      <c r="L76" s="148"/>
      <c r="M76" s="148"/>
      <c r="N76" s="148"/>
      <c r="O76" s="148"/>
      <c r="P76" s="148"/>
      <c r="Q76" s="148"/>
      <c r="R76" s="21"/>
      <c r="S76" s="21"/>
      <c r="T76" s="21"/>
      <c r="U76" s="26"/>
    </row>
    <row r="77" spans="2:21" x14ac:dyDescent="0.2">
      <c r="B77" s="926">
        <v>1</v>
      </c>
      <c r="C77" s="927" t="s">
        <v>386</v>
      </c>
      <c r="D77" s="928"/>
      <c r="E77" s="928"/>
      <c r="F77" s="928"/>
      <c r="G77" s="928"/>
      <c r="H77" s="928"/>
      <c r="I77" s="928"/>
      <c r="J77" s="148"/>
      <c r="K77" s="148"/>
      <c r="L77" s="148"/>
      <c r="M77" s="148"/>
      <c r="N77" s="148"/>
      <c r="O77" s="148"/>
      <c r="P77" s="148"/>
      <c r="Q77" s="148"/>
      <c r="R77" s="21"/>
      <c r="S77" s="21"/>
      <c r="T77" s="21"/>
      <c r="U77" s="26"/>
    </row>
    <row r="78" spans="2:21" x14ac:dyDescent="0.2">
      <c r="B78" s="926">
        <f>B76+B77</f>
        <v>6</v>
      </c>
      <c r="C78" s="927" t="s">
        <v>387</v>
      </c>
      <c r="D78" s="928"/>
      <c r="E78" s="928"/>
      <c r="F78" s="928"/>
      <c r="G78" s="928"/>
      <c r="H78" s="928"/>
      <c r="I78" s="928"/>
      <c r="J78" s="148"/>
      <c r="K78" s="148"/>
      <c r="L78" s="148"/>
      <c r="M78" s="148"/>
      <c r="N78" s="148"/>
      <c r="O78" s="148"/>
      <c r="P78" s="148"/>
      <c r="Q78" s="148"/>
      <c r="R78" s="21"/>
      <c r="S78" s="21"/>
      <c r="T78" s="21"/>
      <c r="U78" s="26"/>
    </row>
    <row r="79" spans="2:21" x14ac:dyDescent="0.2">
      <c r="B79" s="926">
        <v>0.74570000000000003</v>
      </c>
      <c r="C79" s="927" t="s">
        <v>388</v>
      </c>
      <c r="D79">
        <v>1</v>
      </c>
      <c r="E79" t="s">
        <v>389</v>
      </c>
      <c r="J79" s="148"/>
      <c r="K79" s="148"/>
      <c r="L79" s="148"/>
      <c r="M79" s="148"/>
      <c r="N79" s="148"/>
      <c r="O79" s="148"/>
      <c r="P79" s="148"/>
      <c r="Q79" s="148"/>
      <c r="R79" s="21"/>
      <c r="S79" s="21"/>
      <c r="T79" s="21"/>
      <c r="U79" s="26"/>
    </row>
    <row r="80" spans="2:21" x14ac:dyDescent="0.2">
      <c r="B80" s="800">
        <f>B78*B79*24</f>
        <v>107.38079999999999</v>
      </c>
      <c r="C80" s="37" t="s">
        <v>390</v>
      </c>
      <c r="D80" s="37"/>
      <c r="E80" s="37"/>
      <c r="F80" s="37"/>
      <c r="G80" s="37"/>
      <c r="H80" s="37"/>
      <c r="I80" s="37"/>
      <c r="J80" s="148"/>
      <c r="K80" s="148"/>
      <c r="L80" s="148"/>
      <c r="M80" s="148"/>
      <c r="N80" s="148"/>
      <c r="O80" s="148"/>
      <c r="P80" s="148"/>
      <c r="Q80" s="148"/>
      <c r="R80" s="21"/>
      <c r="S80" s="21"/>
      <c r="T80" s="21"/>
      <c r="U80" s="26"/>
    </row>
    <row r="81" spans="2:21" x14ac:dyDescent="0.2">
      <c r="B81" s="800">
        <v>3412.14</v>
      </c>
      <c r="C81" s="37" t="s">
        <v>391</v>
      </c>
      <c r="D81" s="37"/>
      <c r="E81" s="37"/>
      <c r="F81" s="37"/>
      <c r="G81" s="37"/>
      <c r="H81" s="37"/>
      <c r="I81" s="37"/>
      <c r="J81" s="148"/>
      <c r="K81" s="148"/>
      <c r="L81" s="148"/>
      <c r="M81" s="148"/>
      <c r="N81" s="148"/>
      <c r="O81" s="148"/>
      <c r="P81" s="148"/>
      <c r="Q81" s="148"/>
      <c r="R81" s="21"/>
      <c r="S81" s="21"/>
      <c r="T81" s="21"/>
      <c r="U81" s="26"/>
    </row>
    <row r="82" spans="2:21" x14ac:dyDescent="0.2">
      <c r="B82" s="931">
        <f>B80*B81/1000000</f>
        <v>0.36639832291199992</v>
      </c>
      <c r="C82" s="932" t="s">
        <v>392</v>
      </c>
      <c r="D82" s="37"/>
      <c r="E82" s="933"/>
      <c r="F82" s="37"/>
      <c r="G82" s="37"/>
      <c r="H82" s="37"/>
      <c r="I82" s="37"/>
      <c r="J82" s="148"/>
      <c r="K82" s="148"/>
      <c r="L82" s="148"/>
      <c r="M82" s="148"/>
      <c r="N82" s="148"/>
      <c r="O82" s="148"/>
      <c r="P82" s="148"/>
      <c r="Q82" s="148"/>
      <c r="R82" s="21"/>
      <c r="S82" s="21"/>
      <c r="T82" s="21"/>
      <c r="U82" s="26"/>
    </row>
    <row r="83" spans="2:21" x14ac:dyDescent="0.2">
      <c r="B83" s="7"/>
      <c r="C83" s="18"/>
      <c r="D83" s="148"/>
      <c r="E83" s="148"/>
      <c r="F83" s="148"/>
      <c r="G83" s="148"/>
      <c r="H83" s="148"/>
      <c r="I83" s="148"/>
      <c r="J83" s="148"/>
      <c r="K83" s="148"/>
      <c r="L83" s="148"/>
      <c r="M83" s="148"/>
      <c r="N83" s="148"/>
      <c r="O83" s="148"/>
      <c r="P83" s="148"/>
      <c r="Q83" s="148"/>
      <c r="R83" s="21"/>
      <c r="S83" s="21"/>
      <c r="T83" s="21"/>
      <c r="U83" s="26"/>
    </row>
    <row r="84" spans="2:21" ht="16" x14ac:dyDescent="0.2">
      <c r="B84" s="929"/>
      <c r="C84" s="18"/>
      <c r="D84" s="148"/>
      <c r="E84" s="148"/>
      <c r="F84" s="148"/>
      <c r="G84" s="148"/>
      <c r="H84" s="148"/>
      <c r="I84" s="148"/>
      <c r="J84" s="148"/>
      <c r="K84" s="148"/>
      <c r="L84" s="148"/>
      <c r="M84" s="148"/>
      <c r="N84" s="148"/>
      <c r="O84" s="148"/>
      <c r="P84" s="148"/>
      <c r="Q84" s="148"/>
      <c r="R84" s="21"/>
      <c r="S84" s="21"/>
      <c r="T84" s="21"/>
      <c r="U84" s="26"/>
    </row>
    <row r="85" spans="2:21" x14ac:dyDescent="0.2">
      <c r="B85" s="7"/>
      <c r="C85" s="18"/>
      <c r="D85" s="148"/>
      <c r="E85" s="148"/>
      <c r="F85" s="148"/>
      <c r="G85" s="148"/>
      <c r="H85" s="148"/>
      <c r="I85" s="148"/>
      <c r="J85" s="148"/>
      <c r="K85" s="148"/>
      <c r="L85" s="148"/>
      <c r="M85" s="148"/>
      <c r="N85" s="148"/>
      <c r="O85" s="148"/>
      <c r="P85" s="148"/>
      <c r="Q85" s="148"/>
      <c r="R85" s="21"/>
      <c r="S85" s="21"/>
      <c r="T85" s="21"/>
      <c r="U85" s="26"/>
    </row>
    <row r="86" spans="2:21" x14ac:dyDescent="0.2">
      <c r="B86" s="7"/>
      <c r="C86" s="18"/>
      <c r="D86" s="148"/>
      <c r="E86" s="148"/>
      <c r="F86" s="148"/>
      <c r="G86" s="148"/>
      <c r="H86" s="148"/>
      <c r="I86" s="148"/>
      <c r="J86" s="148"/>
      <c r="K86" s="148"/>
      <c r="L86" s="148"/>
      <c r="M86" s="148"/>
      <c r="N86" s="148"/>
      <c r="O86" s="148"/>
      <c r="P86" s="148"/>
      <c r="Q86" s="148"/>
      <c r="R86" s="21"/>
      <c r="S86" s="21"/>
      <c r="T86" s="21"/>
      <c r="U86" s="26"/>
    </row>
    <row r="87" spans="2:21" x14ac:dyDescent="0.2">
      <c r="B87" s="7"/>
      <c r="C87" s="18"/>
      <c r="D87" s="148"/>
      <c r="E87" s="148"/>
      <c r="F87" s="148"/>
      <c r="G87" s="148"/>
      <c r="H87" s="148"/>
      <c r="I87" s="148"/>
      <c r="J87" s="148"/>
      <c r="K87" s="148"/>
      <c r="L87" s="148"/>
      <c r="M87" s="148"/>
      <c r="N87" s="148"/>
      <c r="O87" s="148"/>
      <c r="P87" s="148"/>
      <c r="Q87" s="148"/>
      <c r="R87" s="21"/>
      <c r="S87" s="21"/>
      <c r="T87" s="21"/>
      <c r="U87" s="26"/>
    </row>
    <row r="88" spans="2:21" x14ac:dyDescent="0.2">
      <c r="B88" s="7"/>
      <c r="C88" s="18"/>
      <c r="D88" s="148"/>
      <c r="E88" s="148"/>
      <c r="F88" s="148"/>
      <c r="G88" s="148"/>
      <c r="H88" s="148"/>
      <c r="I88" s="148"/>
      <c r="J88" s="148"/>
      <c r="K88" s="148"/>
      <c r="L88" s="148"/>
      <c r="M88" s="148"/>
      <c r="N88" s="148"/>
      <c r="O88" s="148"/>
      <c r="P88" s="148"/>
      <c r="Q88" s="148"/>
      <c r="R88" s="21"/>
      <c r="S88" s="21"/>
      <c r="T88" s="21"/>
      <c r="U88" s="26"/>
    </row>
    <row r="89" spans="2:21" x14ac:dyDescent="0.2">
      <c r="B89" s="7"/>
      <c r="C89" s="18"/>
      <c r="D89" s="148"/>
      <c r="E89" s="148"/>
      <c r="F89" s="148"/>
      <c r="G89" s="148"/>
      <c r="H89" s="148"/>
      <c r="I89" s="148"/>
      <c r="J89" s="148"/>
      <c r="K89" s="148"/>
      <c r="L89" s="148"/>
      <c r="M89" s="148"/>
      <c r="N89" s="148"/>
      <c r="O89" s="148"/>
      <c r="P89" s="148"/>
      <c r="Q89" s="148"/>
      <c r="R89" s="21"/>
      <c r="S89" s="21"/>
      <c r="T89" s="21"/>
      <c r="U89" s="26"/>
    </row>
    <row r="90" spans="2:21" x14ac:dyDescent="0.2">
      <c r="B90" s="7"/>
      <c r="C90" s="18"/>
      <c r="D90" s="148"/>
      <c r="E90" s="148"/>
      <c r="F90" s="148"/>
      <c r="G90" s="148"/>
      <c r="H90" s="148"/>
      <c r="I90" s="148"/>
      <c r="J90" s="148"/>
      <c r="K90" s="148"/>
      <c r="L90" s="148"/>
      <c r="M90" s="148"/>
      <c r="N90" s="148"/>
      <c r="O90" s="148"/>
      <c r="P90" s="148"/>
      <c r="Q90" s="148"/>
      <c r="R90" s="21"/>
      <c r="S90" s="21"/>
      <c r="T90" s="21"/>
      <c r="U90" s="26"/>
    </row>
    <row r="91" spans="2:21" x14ac:dyDescent="0.2">
      <c r="B91" s="7"/>
      <c r="C91" s="18"/>
      <c r="D91" s="148"/>
      <c r="E91" s="148"/>
      <c r="F91" s="148"/>
      <c r="G91" s="148"/>
      <c r="H91" s="148"/>
      <c r="I91" s="148"/>
      <c r="J91" s="148"/>
      <c r="K91" s="148"/>
      <c r="L91" s="148"/>
      <c r="M91" s="148"/>
      <c r="N91" s="148"/>
      <c r="O91" s="148"/>
      <c r="P91" s="148"/>
      <c r="Q91" s="148"/>
      <c r="R91" s="21"/>
      <c r="S91" s="21"/>
      <c r="T91" s="21"/>
      <c r="U91" s="26"/>
    </row>
    <row r="92" spans="2:21" x14ac:dyDescent="0.2">
      <c r="B92" s="7"/>
      <c r="C92" s="18"/>
      <c r="D92" s="148"/>
      <c r="E92" s="148"/>
      <c r="F92" s="148"/>
      <c r="G92" s="148"/>
      <c r="H92" s="148"/>
      <c r="I92" s="148"/>
      <c r="J92" s="148"/>
      <c r="K92" s="148"/>
      <c r="L92" s="148"/>
      <c r="M92" s="148"/>
      <c r="N92" s="148"/>
      <c r="O92" s="148"/>
      <c r="P92" s="148"/>
      <c r="Q92" s="148"/>
      <c r="R92" s="21"/>
      <c r="S92" s="21"/>
      <c r="T92" s="21"/>
      <c r="U92" s="26"/>
    </row>
    <row r="93" spans="2:21" x14ac:dyDescent="0.2">
      <c r="B93" s="7"/>
      <c r="C93" s="18"/>
      <c r="D93" s="148"/>
      <c r="E93" s="148"/>
      <c r="F93" s="148"/>
      <c r="G93" s="148"/>
      <c r="H93" s="148"/>
      <c r="I93" s="148"/>
      <c r="J93" s="148"/>
      <c r="K93" s="148"/>
      <c r="L93" s="148"/>
      <c r="M93" s="148"/>
      <c r="N93" s="148"/>
      <c r="O93" s="148"/>
      <c r="P93" s="148"/>
      <c r="Q93" s="148"/>
      <c r="R93" s="21"/>
      <c r="S93" s="21"/>
      <c r="T93" s="21"/>
      <c r="U93" s="26"/>
    </row>
    <row r="94" spans="2:21" x14ac:dyDescent="0.2">
      <c r="B94" s="7"/>
      <c r="C94" s="18"/>
      <c r="D94" s="148"/>
      <c r="E94" s="148"/>
      <c r="F94" s="148"/>
      <c r="G94" s="148"/>
      <c r="H94" s="148"/>
      <c r="I94" s="148"/>
      <c r="J94" s="148"/>
      <c r="K94" s="148"/>
      <c r="L94" s="148"/>
      <c r="M94" s="148"/>
      <c r="N94" s="148"/>
      <c r="O94" s="148"/>
      <c r="P94" s="148"/>
      <c r="Q94" s="148"/>
      <c r="R94" s="21"/>
      <c r="S94" s="21"/>
      <c r="T94" s="21"/>
      <c r="U94" s="26"/>
    </row>
    <row r="95" spans="2:21" x14ac:dyDescent="0.2">
      <c r="B95" s="7"/>
      <c r="C95" s="18"/>
      <c r="D95" s="148"/>
      <c r="E95" s="148"/>
      <c r="F95" s="148"/>
      <c r="G95" s="148"/>
      <c r="H95" s="148"/>
      <c r="I95" s="148"/>
      <c r="J95" s="148"/>
      <c r="K95" s="148"/>
      <c r="L95" s="148"/>
      <c r="M95" s="148"/>
      <c r="N95" s="148"/>
      <c r="O95" s="148"/>
      <c r="P95" s="148"/>
      <c r="Q95" s="148"/>
      <c r="R95" s="21"/>
      <c r="S95" s="21"/>
      <c r="T95" s="21"/>
      <c r="U95" s="26"/>
    </row>
    <row r="96" spans="2:21" x14ac:dyDescent="0.2">
      <c r="B96" s="7"/>
      <c r="C96" s="18"/>
      <c r="D96" s="148"/>
      <c r="E96" s="148"/>
      <c r="F96" s="148"/>
      <c r="G96" s="148"/>
      <c r="H96" s="148"/>
      <c r="I96" s="148"/>
      <c r="J96" s="148"/>
      <c r="K96" s="148"/>
      <c r="L96" s="148"/>
      <c r="M96" s="148"/>
      <c r="N96" s="148"/>
      <c r="O96" s="148"/>
      <c r="P96" s="148"/>
      <c r="Q96" s="148"/>
      <c r="R96" s="21"/>
      <c r="S96" s="21"/>
      <c r="T96" s="21"/>
      <c r="U96" s="26"/>
    </row>
    <row r="97" spans="2:21" x14ac:dyDescent="0.2">
      <c r="B97" s="7"/>
      <c r="C97" s="18"/>
      <c r="D97" s="148"/>
      <c r="E97" s="148"/>
      <c r="F97" s="148"/>
      <c r="G97" s="148"/>
      <c r="H97" s="148"/>
      <c r="I97" s="148"/>
      <c r="J97" s="148"/>
      <c r="K97" s="148"/>
      <c r="L97" s="148"/>
      <c r="M97" s="148"/>
      <c r="N97" s="148"/>
      <c r="O97" s="148"/>
      <c r="P97" s="148"/>
      <c r="Q97" s="148"/>
      <c r="R97" s="21"/>
      <c r="S97" s="21"/>
      <c r="T97" s="21"/>
      <c r="U97" s="26"/>
    </row>
    <row r="98" spans="2:21" x14ac:dyDescent="0.2">
      <c r="B98" s="7"/>
      <c r="C98" s="18"/>
      <c r="D98" s="148"/>
      <c r="E98" s="148"/>
      <c r="F98" s="148"/>
      <c r="G98" s="148"/>
      <c r="H98" s="148"/>
      <c r="I98" s="148"/>
      <c r="J98" s="148"/>
      <c r="K98" s="148"/>
      <c r="L98" s="148"/>
      <c r="M98" s="148"/>
      <c r="N98" s="148"/>
      <c r="O98" s="148"/>
      <c r="P98" s="148"/>
      <c r="Q98" s="148"/>
      <c r="R98" s="21"/>
      <c r="S98" s="21"/>
      <c r="T98" s="21"/>
      <c r="U98" s="26"/>
    </row>
    <row r="99" spans="2:21" x14ac:dyDescent="0.2">
      <c r="B99" s="7"/>
      <c r="C99" s="18"/>
      <c r="D99" s="148"/>
      <c r="E99" s="148"/>
      <c r="F99" s="148"/>
      <c r="G99" s="148"/>
      <c r="H99" s="148"/>
      <c r="I99" s="148"/>
      <c r="J99" s="148"/>
      <c r="K99" s="148"/>
      <c r="L99" s="148"/>
      <c r="M99" s="148"/>
      <c r="N99" s="148"/>
      <c r="O99" s="148"/>
      <c r="P99" s="148"/>
      <c r="Q99" s="148"/>
      <c r="R99" s="21"/>
      <c r="S99" s="21"/>
      <c r="T99" s="21"/>
      <c r="U99" s="26"/>
    </row>
    <row r="100" spans="2:21" x14ac:dyDescent="0.2">
      <c r="B100" s="7"/>
      <c r="C100" s="18"/>
      <c r="D100" s="148"/>
      <c r="E100" s="148"/>
      <c r="F100" s="148"/>
      <c r="G100" s="148"/>
      <c r="H100" s="148"/>
      <c r="I100" s="148"/>
      <c r="J100" s="148"/>
      <c r="K100" s="148"/>
      <c r="L100" s="148"/>
      <c r="M100" s="148"/>
      <c r="N100" s="148"/>
      <c r="O100" s="148"/>
      <c r="P100" s="148"/>
      <c r="Q100" s="148"/>
      <c r="R100" s="21"/>
      <c r="S100" s="21"/>
      <c r="T100" s="21"/>
      <c r="U100" s="26"/>
    </row>
    <row r="101" spans="2:21" x14ac:dyDescent="0.2">
      <c r="B101" s="147"/>
      <c r="C101" s="148"/>
      <c r="D101" s="148"/>
      <c r="E101" s="148"/>
      <c r="F101" s="148"/>
      <c r="G101" s="148"/>
      <c r="H101" s="148"/>
      <c r="I101" s="148"/>
      <c r="J101" s="148"/>
      <c r="K101" s="148"/>
      <c r="L101" s="148"/>
      <c r="M101" s="148"/>
      <c r="N101" s="148"/>
      <c r="O101" s="148"/>
      <c r="P101" s="148"/>
      <c r="Q101" s="148"/>
      <c r="R101" s="21"/>
      <c r="S101" s="21"/>
      <c r="T101" s="21"/>
      <c r="U101" s="26"/>
    </row>
    <row r="102" spans="2:21" x14ac:dyDescent="0.2">
      <c r="B102" s="141"/>
      <c r="C102" s="9"/>
      <c r="D102" s="9"/>
      <c r="E102" s="9"/>
      <c r="F102" s="9"/>
      <c r="G102" s="9"/>
      <c r="H102" s="9"/>
      <c r="I102" s="9"/>
      <c r="J102" s="9"/>
      <c r="K102" s="9"/>
      <c r="L102" s="9"/>
      <c r="M102" s="9"/>
      <c r="N102" s="9"/>
      <c r="O102" s="9"/>
      <c r="P102" s="9"/>
      <c r="Q102" s="9"/>
      <c r="R102" s="9"/>
      <c r="S102" s="9"/>
      <c r="T102" s="9"/>
      <c r="U102" s="27"/>
    </row>
    <row r="103" spans="2:21" x14ac:dyDescent="0.2">
      <c r="B103" s="1206" t="s">
        <v>124</v>
      </c>
      <c r="C103" s="1169"/>
      <c r="D103" s="1169"/>
      <c r="E103" s="1169"/>
      <c r="F103" s="1169"/>
      <c r="G103" s="1170"/>
    </row>
  </sheetData>
  <mergeCells count="32">
    <mergeCell ref="B54:G54"/>
    <mergeCell ref="H54:J54"/>
    <mergeCell ref="H61:J61"/>
    <mergeCell ref="B67:G67"/>
    <mergeCell ref="B103:G103"/>
    <mergeCell ref="B73:I73"/>
    <mergeCell ref="B74:I74"/>
    <mergeCell ref="C45:P45"/>
    <mergeCell ref="C46:P46"/>
    <mergeCell ref="C47:P47"/>
    <mergeCell ref="M7:S7"/>
    <mergeCell ref="C8:J8"/>
    <mergeCell ref="C9:J9"/>
    <mergeCell ref="C7:J7"/>
    <mergeCell ref="M8:S8"/>
    <mergeCell ref="M9:S9"/>
    <mergeCell ref="B53:J53"/>
    <mergeCell ref="B1:T1"/>
    <mergeCell ref="B2:T2"/>
    <mergeCell ref="B4:T4"/>
    <mergeCell ref="B5:L5"/>
    <mergeCell ref="C3:H3"/>
    <mergeCell ref="E14:G15"/>
    <mergeCell ref="O14:Q15"/>
    <mergeCell ref="C40:P40"/>
    <mergeCell ref="B31:M31"/>
    <mergeCell ref="B30:P30"/>
    <mergeCell ref="B51:P51"/>
    <mergeCell ref="B43:P43"/>
    <mergeCell ref="B45:B49"/>
    <mergeCell ref="C48:P48"/>
    <mergeCell ref="C49:P49"/>
  </mergeCells>
  <dataValidations count="1">
    <dataValidation type="list" allowBlank="1" showInputMessage="1" showErrorMessage="1" sqref="B122" xr:uid="{4F2CB771-269B-4F4B-B859-1734FBFA054B}">
      <formula1>$B$115:$B$119</formula1>
    </dataValidation>
  </dataValidations>
  <hyperlinks>
    <hyperlink ref="C41" location="'GWP Ref Tables'!A1" display="Reference Data Tables: GWP &amp; Combustion Emissions" xr:uid="{1EB6C229-D5DB-4C7A-835E-4F93B7877F36}"/>
    <hyperlink ref="B27" location="'Summary Ref Tables'!A1" display="** Link to reference data tab" xr:uid="{40219918-0914-4930-9957-E84906E54B8A}"/>
    <hyperlink ref="C3:E3" location="FullDataLanding" display="Return to Planning Page" xr:uid="{740E5080-F4DA-47A5-9406-BA88908548ED}"/>
    <hyperlink ref="B103:D103" location="FullDataLanding" display="Return to Planning Page" xr:uid="{2234EC03-FE73-4701-AB0C-1B887F09D46F}"/>
    <hyperlink ref="C46:P46" r:id="rId1" display="https://reader.elsevier.com/reader/sd/pii/S2212827122000580?token=494650C2CFA0DC2FF939A96C42BEA8B301FCFD6FBACF9839DDD737C0FF902E07A5E5444A7DDD55D24AFA2FEA0A34E46F&amp;originRegion=us-east-1&amp;originCreation=20230110001925" xr:uid="{FA2264F0-F71D-46DE-8FF6-3EFC3A8825C5}"/>
    <hyperlink ref="C47:P47" r:id="rId2" display="https://ww2.arb.ca.gov/resources/documents/high-gwp-refrigerants" xr:uid="{D457B7C3-1962-4FF7-AC08-BACD3F43750A}"/>
    <hyperlink ref="B103:G103" location="FullDataLanding" display="Return to Home Page" xr:uid="{D3DC42DB-B6FF-45C4-95AB-BDEA86AFE0E3}"/>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5">
        <x14:dataValidation type="list" allowBlank="1" showInputMessage="1" showErrorMessage="1" xr:uid="{6B95CDA7-7E75-4DD7-98F9-2CA2C19C27E0}">
          <x14:formula1>
            <xm:f>'Summary Ref Tables'!$E$17:$E$20</xm:f>
          </x14:formula1>
          <xm:sqref>C19 M19</xm:sqref>
        </x14:dataValidation>
        <x14:dataValidation type="list" allowBlank="1" showInputMessage="1" showErrorMessage="1" xr:uid="{7A22B7FC-084C-46E0-BEC1-47D25B0BC28D}">
          <x14:formula1>
            <xm:f>'EIA Ref Tables'!$E$37:$E$44</xm:f>
          </x14:formula1>
          <xm:sqref>C18</xm:sqref>
        </x14:dataValidation>
        <x14:dataValidation type="list" allowBlank="1" showInputMessage="1" showErrorMessage="1" xr:uid="{84290ED9-F3A0-4545-8C76-1866AB70F99B}">
          <x14:formula1>
            <xm:f>'Summary Ref Tables'!$E$9:$E$16</xm:f>
          </x14:formula1>
          <xm:sqref>M18</xm:sqref>
        </x14:dataValidation>
        <x14:dataValidation type="list" allowBlank="1" showInputMessage="1" showErrorMessage="1" xr:uid="{5A1DD726-010A-4100-8B55-3AEFFBC710B0}">
          <x14:formula1>
            <xm:f>'Summary Ref Tables'!$E$22:$E$29</xm:f>
          </x14:formula1>
          <xm:sqref>M21 C21</xm:sqref>
        </x14:dataValidation>
        <x14:dataValidation type="list" allowBlank="1" showInputMessage="1" showErrorMessage="1" xr:uid="{46A87DAB-A667-401F-A871-6A3FE97411CF}">
          <x14:formula1>
            <xm:f>'Summary Ref Tables'!$E$8:$E$30</xm:f>
          </x14:formula1>
          <xm:sqref>C23:C25 M23:M25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8825-3DA8-4019-B576-4D1771012810}">
  <sheetPr>
    <tabColor rgb="FF00B050"/>
  </sheetPr>
  <dimension ref="A1:R100"/>
  <sheetViews>
    <sheetView showGridLines="0" topLeftCell="E6" zoomScale="90" zoomScaleNormal="90" workbookViewId="0">
      <selection activeCell="F18" sqref="F18"/>
    </sheetView>
  </sheetViews>
  <sheetFormatPr baseColWidth="10" defaultColWidth="8.83203125" defaultRowHeight="15" x14ac:dyDescent="0.2"/>
  <cols>
    <col min="1" max="1" width="2.6640625" customWidth="1"/>
    <col min="2" max="2" width="25.6640625" customWidth="1"/>
    <col min="3" max="3" width="29.33203125" customWidth="1"/>
    <col min="4" max="5" width="14.5" customWidth="1"/>
    <col min="6" max="16" width="25.6640625" customWidth="1"/>
    <col min="17" max="17" width="14.5" customWidth="1"/>
    <col min="18" max="18" width="2.6640625" customWidth="1"/>
  </cols>
  <sheetData>
    <row r="1" spans="1:18" ht="15.75" customHeight="1" x14ac:dyDescent="0.2">
      <c r="A1" s="5"/>
      <c r="B1" s="1159" t="s">
        <v>0</v>
      </c>
      <c r="C1" s="1159"/>
      <c r="D1" s="1159"/>
      <c r="E1" s="1159"/>
      <c r="F1" s="1159"/>
      <c r="G1" s="1159"/>
      <c r="H1" s="1159"/>
      <c r="I1" s="1159"/>
      <c r="J1" s="1159"/>
      <c r="K1" s="1159"/>
      <c r="L1" s="1159"/>
      <c r="M1" s="1159"/>
      <c r="N1" s="1159"/>
      <c r="O1" s="1159"/>
      <c r="P1" s="1159"/>
      <c r="Q1" s="1159"/>
      <c r="R1" s="665"/>
    </row>
    <row r="2" spans="1:18" ht="21" customHeight="1" x14ac:dyDescent="0.2">
      <c r="A2" s="5"/>
      <c r="B2" s="1161" t="s">
        <v>1</v>
      </c>
      <c r="C2" s="1296"/>
      <c r="D2" s="1296"/>
      <c r="E2" s="1296"/>
      <c r="F2" s="1296"/>
      <c r="G2" s="1296"/>
      <c r="H2" s="1296"/>
      <c r="I2" s="1296"/>
      <c r="J2" s="1296"/>
      <c r="K2" s="1296"/>
      <c r="L2" s="1296"/>
      <c r="M2" s="1296"/>
      <c r="N2" s="1296"/>
      <c r="O2" s="1296"/>
      <c r="P2" s="1296"/>
      <c r="Q2" s="1296"/>
      <c r="R2" s="32"/>
    </row>
    <row r="3" spans="1:18" ht="15.5" customHeight="1" x14ac:dyDescent="0.2">
      <c r="A3" s="5"/>
      <c r="B3" s="1017"/>
      <c r="C3" s="1206" t="s">
        <v>126</v>
      </c>
      <c r="D3" s="1206"/>
      <c r="E3" s="1206"/>
      <c r="F3" s="1206"/>
      <c r="G3" s="1206"/>
      <c r="H3" s="1320"/>
      <c r="I3" s="1320"/>
      <c r="J3" s="1320"/>
      <c r="K3" s="1320"/>
      <c r="L3" s="1320"/>
      <c r="M3" s="1320"/>
      <c r="N3" s="1320"/>
      <c r="O3" s="1320"/>
      <c r="P3" s="1320"/>
      <c r="Q3" s="1320"/>
      <c r="R3" s="1289"/>
    </row>
    <row r="4" spans="1:18" ht="18" x14ac:dyDescent="0.2">
      <c r="A4" s="5"/>
      <c r="B4" s="1163" t="s">
        <v>393</v>
      </c>
      <c r="C4" s="1297"/>
      <c r="D4" s="1297"/>
      <c r="E4" s="1297"/>
      <c r="F4" s="1297"/>
      <c r="G4" s="1163"/>
      <c r="H4" s="1163"/>
      <c r="I4" s="1163"/>
      <c r="J4" s="1163"/>
      <c r="K4" s="1163"/>
      <c r="L4" s="1163"/>
      <c r="M4" s="1163"/>
      <c r="N4" s="1163"/>
      <c r="O4" s="1163"/>
      <c r="P4" s="1163"/>
      <c r="Q4" s="1163"/>
      <c r="R4" s="648"/>
    </row>
    <row r="5" spans="1:18" ht="18" x14ac:dyDescent="0.2">
      <c r="A5" s="5"/>
      <c r="B5" s="603"/>
      <c r="C5" s="597"/>
      <c r="D5" s="597"/>
      <c r="E5" s="597"/>
      <c r="F5" s="597"/>
      <c r="G5" s="597"/>
      <c r="H5" s="597"/>
      <c r="I5" s="597"/>
      <c r="J5" s="597"/>
      <c r="K5" s="597"/>
      <c r="L5" s="597"/>
      <c r="M5" s="597"/>
      <c r="N5" s="597"/>
      <c r="O5" s="597"/>
      <c r="P5" s="597"/>
      <c r="Q5" s="597"/>
      <c r="R5" s="6"/>
    </row>
    <row r="6" spans="1:18" ht="90.75" customHeight="1" x14ac:dyDescent="0.2">
      <c r="A6" s="5"/>
      <c r="B6" s="1188" t="s">
        <v>394</v>
      </c>
      <c r="C6" s="1188"/>
      <c r="D6" s="1188"/>
      <c r="E6" s="1188"/>
      <c r="F6" s="1188"/>
      <c r="G6" s="1188"/>
      <c r="H6" s="1188"/>
      <c r="I6" s="1188"/>
      <c r="J6" s="1188"/>
      <c r="K6" s="1188"/>
      <c r="L6" s="1188"/>
      <c r="M6" s="1188"/>
      <c r="N6" s="1188"/>
      <c r="O6" s="1188"/>
      <c r="P6" s="647"/>
      <c r="Q6" s="24"/>
      <c r="R6" s="6"/>
    </row>
    <row r="7" spans="1:18" ht="15" customHeight="1" x14ac:dyDescent="0.2">
      <c r="B7" s="1319" t="s">
        <v>395</v>
      </c>
      <c r="C7" s="1319"/>
      <c r="D7" s="1319"/>
      <c r="E7" s="1319"/>
      <c r="F7" s="1319"/>
      <c r="G7" s="1319"/>
      <c r="H7" s="1319"/>
      <c r="I7" s="1319"/>
      <c r="J7" s="1319"/>
      <c r="K7" s="1319"/>
      <c r="L7" s="1319"/>
      <c r="M7" s="1319"/>
      <c r="N7" s="1319"/>
      <c r="O7" s="1319"/>
      <c r="P7" s="657"/>
      <c r="Q7" s="45"/>
      <c r="R7" s="12"/>
    </row>
    <row r="8" spans="1:18" ht="24" customHeight="1" x14ac:dyDescent="0.2">
      <c r="B8" s="1319" t="s">
        <v>396</v>
      </c>
      <c r="C8" s="1319"/>
      <c r="D8" s="1319"/>
      <c r="E8" s="1319"/>
      <c r="F8" s="1319"/>
      <c r="G8" s="1319"/>
      <c r="H8" s="1319"/>
      <c r="I8" s="1319"/>
      <c r="J8" s="1319"/>
      <c r="K8" s="1319"/>
      <c r="L8" s="1319"/>
      <c r="M8" s="1319"/>
      <c r="N8" s="1319"/>
      <c r="O8" s="1319"/>
      <c r="P8" s="657"/>
      <c r="Q8" s="45"/>
      <c r="R8" s="12"/>
    </row>
    <row r="9" spans="1:18" ht="72.75" customHeight="1" x14ac:dyDescent="0.2">
      <c r="A9" s="45"/>
      <c r="B9" s="1188" t="s">
        <v>397</v>
      </c>
      <c r="C9" s="1189"/>
      <c r="D9" s="1189"/>
      <c r="E9" s="1189"/>
      <c r="F9" s="1189"/>
      <c r="G9" s="1189"/>
      <c r="H9" s="1189"/>
      <c r="I9" s="1189"/>
      <c r="J9" s="1189"/>
      <c r="K9" s="1189"/>
      <c r="L9" s="1189"/>
      <c r="M9" s="1189"/>
      <c r="N9" s="1189"/>
      <c r="O9" s="1189"/>
      <c r="P9" s="647"/>
      <c r="Q9" s="45"/>
      <c r="R9" s="12"/>
    </row>
    <row r="10" spans="1:18" x14ac:dyDescent="0.2">
      <c r="A10" s="45"/>
      <c r="B10" s="48"/>
      <c r="C10" s="647"/>
      <c r="D10" s="647"/>
      <c r="E10" s="647"/>
      <c r="F10" s="453"/>
      <c r="G10" s="453"/>
      <c r="H10" s="647"/>
      <c r="I10" s="647"/>
      <c r="J10" s="647"/>
      <c r="K10" s="647"/>
      <c r="L10" s="647"/>
      <c r="M10" s="647"/>
      <c r="N10" s="647"/>
      <c r="O10" s="647"/>
      <c r="P10" s="647"/>
      <c r="Q10" s="45"/>
      <c r="R10" s="12"/>
    </row>
    <row r="11" spans="1:18" ht="27" customHeight="1" x14ac:dyDescent="0.2">
      <c r="A11" s="45"/>
      <c r="B11" s="38"/>
      <c r="C11" s="21"/>
      <c r="D11" s="1298" t="s">
        <v>398</v>
      </c>
      <c r="E11" s="1298"/>
      <c r="F11" s="454" t="s">
        <v>399</v>
      </c>
      <c r="G11" s="749"/>
      <c r="H11" s="484"/>
      <c r="I11" s="484"/>
      <c r="J11" s="3"/>
      <c r="K11" s="749" t="s">
        <v>399</v>
      </c>
      <c r="L11" s="749"/>
      <c r="M11" s="17"/>
      <c r="N11" s="17"/>
      <c r="O11" s="17"/>
      <c r="P11" s="17"/>
      <c r="Q11" s="45"/>
      <c r="R11" s="12"/>
    </row>
    <row r="12" spans="1:18" ht="30" customHeight="1" x14ac:dyDescent="0.2">
      <c r="A12" s="45"/>
      <c r="B12" s="38"/>
      <c r="C12" s="21"/>
      <c r="D12" s="486" t="s">
        <v>333</v>
      </c>
      <c r="E12" s="486" t="s">
        <v>333</v>
      </c>
      <c r="F12" s="1321" t="s">
        <v>400</v>
      </c>
      <c r="G12" s="1321"/>
      <c r="H12" s="1321"/>
      <c r="I12" s="1321"/>
      <c r="J12" s="1321"/>
      <c r="K12" s="1321" t="s">
        <v>401</v>
      </c>
      <c r="L12" s="1321"/>
      <c r="M12" s="1321"/>
      <c r="N12" s="1321"/>
      <c r="O12" s="1323"/>
      <c r="P12" s="673"/>
      <c r="Q12" s="45"/>
      <c r="R12" s="12"/>
    </row>
    <row r="13" spans="1:18" ht="43" x14ac:dyDescent="0.2">
      <c r="A13" s="45"/>
      <c r="B13" s="163" t="s">
        <v>402</v>
      </c>
      <c r="C13" s="164" t="s">
        <v>403</v>
      </c>
      <c r="D13" s="163" t="s">
        <v>338</v>
      </c>
      <c r="E13" s="164" t="s">
        <v>404</v>
      </c>
      <c r="F13" s="166" t="s">
        <v>405</v>
      </c>
      <c r="G13" s="438" t="s">
        <v>337</v>
      </c>
      <c r="H13" s="166" t="s">
        <v>406</v>
      </c>
      <c r="I13" s="166" t="s">
        <v>407</v>
      </c>
      <c r="J13" s="166" t="s">
        <v>408</v>
      </c>
      <c r="K13" s="1021" t="s">
        <v>409</v>
      </c>
      <c r="L13" s="1022" t="s">
        <v>337</v>
      </c>
      <c r="M13" s="1021" t="s">
        <v>410</v>
      </c>
      <c r="N13" s="1023" t="s">
        <v>407</v>
      </c>
      <c r="O13" s="54" t="s">
        <v>408</v>
      </c>
      <c r="P13" s="57"/>
      <c r="Q13" s="45"/>
      <c r="R13" s="12"/>
    </row>
    <row r="14" spans="1:18" ht="30" customHeight="1" x14ac:dyDescent="0.2">
      <c r="A14" s="45"/>
      <c r="B14" s="1324" t="s">
        <v>411</v>
      </c>
      <c r="C14" s="1325"/>
      <c r="D14" s="1325"/>
      <c r="E14" s="1325"/>
      <c r="F14" s="1325"/>
      <c r="G14" s="967"/>
      <c r="H14" s="262" t="str">
        <f>IF(F14&lt;&gt;"",(F14*#REF!)/1000000,"")</f>
        <v/>
      </c>
      <c r="I14" s="262"/>
      <c r="J14" s="391" t="str">
        <f>IF(H14&lt;&gt;"",(H14*E14)/1000000,"")</f>
        <v/>
      </c>
      <c r="K14" s="262"/>
      <c r="L14" s="262"/>
      <c r="M14" s="262" t="str">
        <f>IF(K14&lt;&gt;"",(K14*F14)/1000000,"")</f>
        <v/>
      </c>
      <c r="N14" s="262"/>
      <c r="O14" s="485"/>
      <c r="P14" s="485"/>
      <c r="Q14" s="45"/>
      <c r="R14" s="12"/>
    </row>
    <row r="15" spans="1:18" x14ac:dyDescent="0.2">
      <c r="A15" s="45"/>
      <c r="B15" s="235" t="s">
        <v>343</v>
      </c>
      <c r="C15" s="835" t="s">
        <v>343</v>
      </c>
      <c r="D15" s="488">
        <f>'Grid Mix Customization'!F31</f>
        <v>108.5873463079036</v>
      </c>
      <c r="E15" s="173">
        <f>'Summary Ref Tables'!F8</f>
        <v>2.8593557566531782</v>
      </c>
      <c r="F15" s="901">
        <f>D51*US_Annual_Production/Ref_Volume</f>
        <v>44577450</v>
      </c>
      <c r="G15" s="775">
        <f>IF(ISNUMBER('Summary Ref Tables'!J8),'Summary Ref Tables'!J8,"")</f>
        <v>21.043376318874564</v>
      </c>
      <c r="H15" s="263">
        <f>IF(F15&lt;&gt;"",F15*$E15,"")</f>
        <v>127462788.27441922</v>
      </c>
      <c r="I15" s="752">
        <f t="shared" ref="I15:I18" si="0">IF(F15&lt;&gt;"",G15*$F15,"")</f>
        <v>938060055.68581498</v>
      </c>
      <c r="J15" s="489">
        <f>IF(F15&lt;&gt;"",F15*$D15*0.0005,"")</f>
        <v>2420273.5003366289</v>
      </c>
      <c r="K15" s="901">
        <f>C93*US_Annual_Production/Ref_Volume</f>
        <v>108130193.05019306</v>
      </c>
      <c r="L15" s="777">
        <f>IF(ISNUMBER('Summary Ref Tables'!J8),'Summary Ref Tables'!J8,"")</f>
        <v>21.043376318874564</v>
      </c>
      <c r="M15" s="263">
        <f>IF(K15&lt;&gt;"",K15*$E15,"")</f>
        <v>309182689.96608901</v>
      </c>
      <c r="N15" s="1024">
        <f t="shared" ref="N15:N22" si="1">IF(K15&lt;&gt;"",L15*$K15,"")</f>
        <v>2275424343.7877674</v>
      </c>
      <c r="O15" s="794">
        <f>IF(K15&lt;&gt;"",K15*$D15*0.0005,"")</f>
        <v>5870785.3595408928</v>
      </c>
      <c r="P15" s="485"/>
      <c r="Q15" s="45"/>
      <c r="R15" s="12"/>
    </row>
    <row r="16" spans="1:18" x14ac:dyDescent="0.2">
      <c r="A16" s="45"/>
      <c r="B16" s="165" t="s">
        <v>412</v>
      </c>
      <c r="C16" s="701" t="s">
        <v>413</v>
      </c>
      <c r="D16" s="487">
        <f>INDEX('Summary Ref Tables'!K9:K16,MATCH(C16,'Summary Ref Tables'!E9:E16,0))</f>
        <v>161.7612048</v>
      </c>
      <c r="E16" s="683">
        <v>1</v>
      </c>
      <c r="F16" s="491"/>
      <c r="G16" s="776">
        <f>INDEX('Summary Ref Tables'!J9:J16,MATCH(C16,'Summary Ref Tables'!E9:E16,0))</f>
        <v>21.54059405940594</v>
      </c>
      <c r="H16" s="684" t="str">
        <f>IF(F16&lt;&gt;"",F16*$E16,"")</f>
        <v/>
      </c>
      <c r="I16" s="752" t="str">
        <f t="shared" si="0"/>
        <v/>
      </c>
      <c r="J16" s="489" t="str">
        <f>IF(F16&lt;&gt;"",F16*$D16*0.0005,"")</f>
        <v/>
      </c>
      <c r="K16" s="491"/>
      <c r="L16" s="778">
        <f>INDEX('Summary Ref Tables'!J9:J16,MATCH(C16,'Summary Ref Tables'!E9:E16,0))</f>
        <v>21.54059405940594</v>
      </c>
      <c r="M16" s="684" t="str">
        <f t="shared" ref="M16" si="2">IF(K16&lt;&gt;"",K16*$E16,"")</f>
        <v/>
      </c>
      <c r="N16" s="752" t="str">
        <f t="shared" si="1"/>
        <v/>
      </c>
      <c r="O16" s="793" t="str">
        <f>IF(K16&lt;&gt;"",K16*$D16*0.0005,"")</f>
        <v/>
      </c>
      <c r="P16" s="485"/>
      <c r="Q16" s="45"/>
      <c r="R16" s="12"/>
    </row>
    <row r="17" spans="1:18" x14ac:dyDescent="0.2">
      <c r="A17" s="45"/>
      <c r="B17" s="682" t="s">
        <v>414</v>
      </c>
      <c r="C17" s="701" t="s">
        <v>415</v>
      </c>
      <c r="D17" s="487">
        <f>INDEX('Summary Ref Tables'!K17:K20,MATCH(C17,'Summary Ref Tables'!E17:E20,0))</f>
        <v>250.46251699999999</v>
      </c>
      <c r="E17" s="683">
        <f>'Summary Ref Tables'!F17</f>
        <v>1</v>
      </c>
      <c r="F17" s="491"/>
      <c r="G17" s="775">
        <f>INDEX('Summary Ref Tables'!J17:J20,MATCH(C17,'Summary Ref Tables'!E17:E20,0))</f>
        <v>7.6613409614177073</v>
      </c>
      <c r="H17" s="684" t="str">
        <f t="shared" ref="H17:H20" si="3">IF(F17&lt;&gt;"",F17*$E17,"")</f>
        <v/>
      </c>
      <c r="I17" s="752" t="str">
        <f t="shared" si="0"/>
        <v/>
      </c>
      <c r="J17" s="411" t="str">
        <f t="shared" ref="J17:J20" si="4">IF(F17&lt;&gt;"",F17*$D17*0.0005,"")</f>
        <v/>
      </c>
      <c r="K17" s="491"/>
      <c r="L17" s="778">
        <f>INDEX('Summary Ref Tables'!J17:J20,MATCH(C17,'Summary Ref Tables'!E17:E20,0))</f>
        <v>7.6613409614177073</v>
      </c>
      <c r="M17" s="684" t="str">
        <f t="shared" ref="M17:M23" si="5">IF(K17&lt;&gt;"",K17*$E17,"")</f>
        <v/>
      </c>
      <c r="N17" s="752" t="str">
        <f t="shared" si="1"/>
        <v/>
      </c>
      <c r="O17" s="794" t="str">
        <f t="shared" ref="O17:O23" si="6">IF(K17&lt;&gt;"",K17*$D17*0.0005,"")</f>
        <v/>
      </c>
      <c r="P17" s="485"/>
      <c r="Q17" s="45"/>
      <c r="R17" s="12"/>
    </row>
    <row r="18" spans="1:18" x14ac:dyDescent="0.2">
      <c r="A18" s="45"/>
      <c r="B18" s="688" t="s">
        <v>348</v>
      </c>
      <c r="C18" s="296" t="s">
        <v>348</v>
      </c>
      <c r="D18" s="487">
        <f>'Summary Ref Tables'!K21</f>
        <v>130.61490180000001</v>
      </c>
      <c r="E18" s="683">
        <f>'Summary Ref Tables'!F21</f>
        <v>1</v>
      </c>
      <c r="F18" s="491"/>
      <c r="G18" s="776">
        <f>IF(ISNUMBER('Summary Ref Tables'!J21),'Summary Ref Tables'!J21,"")</f>
        <v>5.7940327237728582</v>
      </c>
      <c r="H18" s="684" t="str">
        <f t="shared" si="3"/>
        <v/>
      </c>
      <c r="I18" s="752" t="str">
        <f t="shared" si="0"/>
        <v/>
      </c>
      <c r="J18" s="411" t="str">
        <f t="shared" si="4"/>
        <v/>
      </c>
      <c r="K18" s="491">
        <f>(C98*-1)*US_Annual_Production/Ref_Volume</f>
        <v>-222771704.24710429</v>
      </c>
      <c r="L18" s="778">
        <f>IF(ISNUMBER('Summary Ref Tables'!J21),'Summary Ref Tables'!J21,"")</f>
        <v>5.7940327237728582</v>
      </c>
      <c r="M18" s="684">
        <f t="shared" si="5"/>
        <v>-222771704.24710429</v>
      </c>
      <c r="N18" s="752">
        <f t="shared" si="1"/>
        <v>-1290746544.3383713</v>
      </c>
      <c r="O18" s="794">
        <f>IF(K18&lt;&gt;"",K18*$D18*0.0005,"")</f>
        <v>-14548652.137027087</v>
      </c>
      <c r="P18" s="485"/>
      <c r="Q18" s="45"/>
      <c r="R18" s="12"/>
    </row>
    <row r="19" spans="1:18" x14ac:dyDescent="0.2">
      <c r="A19" s="45"/>
      <c r="B19" s="973" t="s">
        <v>416</v>
      </c>
      <c r="C19" s="702" t="s">
        <v>417</v>
      </c>
      <c r="D19" s="487">
        <f>INDEX('Summary Ref Tables'!K22:K29,MATCH(C19,'Summary Ref Tables'!E22:E29,0))</f>
        <v>31.0158144</v>
      </c>
      <c r="E19" s="683">
        <f>'Summary Ref Tables'!F22</f>
        <v>1</v>
      </c>
      <c r="F19" s="491"/>
      <c r="G19" s="776">
        <f>INDEX('Summary Ref Tables'!J22:J29,MATCH(C19,'Summary Ref Tables'!E22:E29,0))</f>
        <v>14.067408000000002</v>
      </c>
      <c r="H19" s="684" t="str">
        <f t="shared" si="3"/>
        <v/>
      </c>
      <c r="I19" s="752" t="str">
        <f>IF(F19&lt;&gt;"",G19*$F19,"")</f>
        <v/>
      </c>
      <c r="J19" s="411" t="str">
        <f t="shared" si="4"/>
        <v/>
      </c>
      <c r="K19" s="491"/>
      <c r="L19" s="778">
        <f>INDEX('Summary Ref Tables'!J22:J29,MATCH(C19,'Summary Ref Tables'!E22:E29,0))</f>
        <v>14.067408000000002</v>
      </c>
      <c r="M19" s="684" t="str">
        <f t="shared" si="5"/>
        <v/>
      </c>
      <c r="N19" s="752" t="str">
        <f t="shared" si="1"/>
        <v/>
      </c>
      <c r="O19" s="794" t="str">
        <f t="shared" si="6"/>
        <v/>
      </c>
      <c r="P19" s="485"/>
      <c r="Q19" s="45"/>
      <c r="R19" s="12"/>
    </row>
    <row r="20" spans="1:18" x14ac:dyDescent="0.2">
      <c r="B20" s="691" t="s">
        <v>351</v>
      </c>
      <c r="C20" s="834" t="s">
        <v>418</v>
      </c>
      <c r="D20" s="767">
        <f>'Summary Ref Tables'!K30</f>
        <v>146.39000687203793</v>
      </c>
      <c r="E20" s="768">
        <f>'Summary Ref Tables'!F30</f>
        <v>1.1992</v>
      </c>
      <c r="F20" s="491"/>
      <c r="G20" s="776">
        <f>IF(ISNUMBER('Summary Ref Tables'!J30),'Summary Ref Tables'!J30,"")</f>
        <v>4.7</v>
      </c>
      <c r="H20" s="684" t="str">
        <f t="shared" si="3"/>
        <v/>
      </c>
      <c r="I20" s="752" t="str">
        <f>IF(F20&lt;&gt;"",G20*$F20,"")</f>
        <v/>
      </c>
      <c r="J20" s="411" t="str">
        <f t="shared" si="4"/>
        <v/>
      </c>
      <c r="K20" s="491"/>
      <c r="L20" s="778">
        <f>IF(ISNUMBER('Summary Ref Tables'!J30),'Summary Ref Tables'!J30,"")</f>
        <v>4.7</v>
      </c>
      <c r="M20" s="684" t="str">
        <f t="shared" si="5"/>
        <v/>
      </c>
      <c r="N20" s="752" t="str">
        <f t="shared" si="1"/>
        <v/>
      </c>
      <c r="O20" s="794" t="str">
        <f t="shared" si="6"/>
        <v/>
      </c>
      <c r="P20" s="485"/>
      <c r="Q20" s="45"/>
      <c r="R20" s="12"/>
    </row>
    <row r="21" spans="1:18" s="45" customFormat="1" x14ac:dyDescent="0.2">
      <c r="B21" s="691" t="s">
        <v>353</v>
      </c>
      <c r="C21" s="783"/>
      <c r="D21" s="487" t="str">
        <f>IF(C21="","",INDEX('Summary Ref Tables'!K8:K30,MATCH(C21,'Summary Ref Tables'!E8:E30,0)))</f>
        <v/>
      </c>
      <c r="E21" s="683" t="str">
        <f>IF(C21="","",INDEX('Summary Ref Tables'!F8:F30,MATCH(C21,'Summary Ref Tables'!E8:E30,0)))</f>
        <v/>
      </c>
      <c r="F21" s="491"/>
      <c r="G21" s="776" t="str">
        <f>IF(C21="","",INDEX('Summary Ref Tables'!J8:J30,MATCH(C21,'Summary Ref Tables'!E8:E30,0)))</f>
        <v/>
      </c>
      <c r="H21" s="684" t="str">
        <f>IF(F21&lt;&gt;"",F21*$E21,"")</f>
        <v/>
      </c>
      <c r="I21" s="752" t="str">
        <f>IF(F21&lt;&gt;"",G21*$F21,"")</f>
        <v/>
      </c>
      <c r="J21" s="411" t="str">
        <f>IF(F21&lt;&gt;"",F21*$D21*0.0005,"")</f>
        <v/>
      </c>
      <c r="K21" s="491"/>
      <c r="L21" s="778" t="str">
        <f>IF(C21="","",INDEX('Summary Ref Tables'!J8:J30,MATCH(C21,'Summary Ref Tables'!E8:E30,0)))</f>
        <v/>
      </c>
      <c r="M21" s="684" t="str">
        <f t="shared" si="5"/>
        <v/>
      </c>
      <c r="N21" s="752" t="str">
        <f t="shared" si="1"/>
        <v/>
      </c>
      <c r="O21" s="794" t="str">
        <f t="shared" si="6"/>
        <v/>
      </c>
      <c r="P21" s="485"/>
      <c r="R21" s="12"/>
    </row>
    <row r="22" spans="1:18" x14ac:dyDescent="0.2">
      <c r="B22" s="691" t="s">
        <v>354</v>
      </c>
      <c r="C22" s="783"/>
      <c r="D22" s="487" t="str">
        <f>IF(C22="","",INDEX('Summary Ref Tables'!K8:K30,MATCH(C22,'Summary Ref Tables'!E8:E30,0)))</f>
        <v/>
      </c>
      <c r="E22" s="683" t="str">
        <f>IF(C22="","",INDEX('Summary Ref Tables'!F8:F30,MATCH(C22,'Summary Ref Tables'!E8:E30,0)))</f>
        <v/>
      </c>
      <c r="F22" s="491"/>
      <c r="G22" s="775" t="str">
        <f>IF(C22="","",INDEX('Summary Ref Tables'!J8:J30,MATCH(C22,'Summary Ref Tables'!E8:E30,0)))</f>
        <v/>
      </c>
      <c r="H22" s="684" t="str">
        <f>IF(F22&lt;&gt;"",F22*$E22,"")</f>
        <v/>
      </c>
      <c r="I22" s="752" t="str">
        <f>IF(F22&lt;&gt;"",G22*$F22,"")</f>
        <v/>
      </c>
      <c r="J22" s="411" t="str">
        <f>IF(F22&lt;&gt;"",F22*$D22*0.0005,"")</f>
        <v/>
      </c>
      <c r="K22" s="491"/>
      <c r="L22" s="778" t="str">
        <f>IF(C22="","",INDEX('Summary Ref Tables'!J8:J30,MATCH(C22,'Summary Ref Tables'!E8:E30,0)))</f>
        <v/>
      </c>
      <c r="M22" s="684" t="str">
        <f t="shared" si="5"/>
        <v/>
      </c>
      <c r="N22" s="752" t="str">
        <f t="shared" si="1"/>
        <v/>
      </c>
      <c r="O22" s="794" t="str">
        <f t="shared" si="6"/>
        <v/>
      </c>
      <c r="P22" s="485"/>
      <c r="Q22" s="45"/>
      <c r="R22" s="12"/>
    </row>
    <row r="23" spans="1:18" x14ac:dyDescent="0.2">
      <c r="B23" s="691" t="s">
        <v>356</v>
      </c>
      <c r="C23" s="783"/>
      <c r="D23" s="767" t="str">
        <f>IF(C23="","",INDEX('Summary Ref Tables'!K8:K30,MATCH(C23,'Summary Ref Tables'!E8:E30,0)))</f>
        <v/>
      </c>
      <c r="E23" s="768" t="str">
        <f>IF(C23="","",INDEX('Summary Ref Tables'!F8:F30,MATCH(C23,'Summary Ref Tables'!E8:E30,0)))</f>
        <v/>
      </c>
      <c r="F23" s="491"/>
      <c r="G23" s="776" t="str">
        <f>IF(C23="","",INDEX('Summary Ref Tables'!J8:J30,MATCH(C23,'Summary Ref Tables'!E8:E30,0)))</f>
        <v/>
      </c>
      <c r="H23" s="684" t="str">
        <f>IF(F23&lt;&gt;"",F23*$E23,"")</f>
        <v/>
      </c>
      <c r="I23" s="752" t="str">
        <f>IF(F23&lt;&gt;"",G23*$F23,"")</f>
        <v/>
      </c>
      <c r="J23" s="411" t="str">
        <f>IF(F23&lt;&gt;"",F23*$D23*0.0005,"")</f>
        <v/>
      </c>
      <c r="K23" s="491"/>
      <c r="L23" s="778" t="str">
        <f>IF(C23="","",INDEX('Summary Ref Tables'!J8:J30,MATCH(C23,'Summary Ref Tables'!E8:E30,0)))</f>
        <v/>
      </c>
      <c r="M23" s="684" t="str">
        <f t="shared" si="5"/>
        <v/>
      </c>
      <c r="N23" s="752" t="str">
        <f>IF(K23&lt;&gt;"",L23*$K23,"")</f>
        <v/>
      </c>
      <c r="O23" s="794" t="str">
        <f t="shared" si="6"/>
        <v/>
      </c>
      <c r="P23" s="485"/>
      <c r="Q23" s="45"/>
      <c r="R23" s="12"/>
    </row>
    <row r="24" spans="1:18" x14ac:dyDescent="0.2">
      <c r="B24" s="1018"/>
      <c r="C24" s="67"/>
      <c r="D24" s="426"/>
      <c r="E24" s="686"/>
      <c r="F24" s="687"/>
      <c r="G24" s="750"/>
      <c r="H24" s="687"/>
      <c r="I24" s="753"/>
      <c r="J24" s="485"/>
      <c r="K24" s="687"/>
      <c r="L24" s="754"/>
      <c r="M24" s="687"/>
      <c r="N24" s="754"/>
      <c r="O24" s="687"/>
      <c r="P24" s="485"/>
      <c r="Q24" s="45"/>
      <c r="R24" s="12"/>
    </row>
    <row r="25" spans="1:18" s="45" customFormat="1" x14ac:dyDescent="0.2">
      <c r="B25" s="660"/>
      <c r="C25" s="67"/>
      <c r="D25" s="426"/>
      <c r="E25" s="686"/>
      <c r="F25" s="687"/>
      <c r="G25" s="750"/>
      <c r="H25" s="687"/>
      <c r="I25" s="687"/>
      <c r="J25" s="485"/>
      <c r="K25" s="687"/>
      <c r="L25" s="754"/>
      <c r="M25" s="687"/>
      <c r="N25" s="754"/>
      <c r="O25" s="687"/>
      <c r="P25" s="485"/>
      <c r="R25" s="12"/>
    </row>
    <row r="26" spans="1:18" ht="30" customHeight="1" x14ac:dyDescent="0.2">
      <c r="B26" s="1324" t="s">
        <v>419</v>
      </c>
      <c r="C26" s="1324"/>
      <c r="D26" s="1324"/>
      <c r="E26" s="1324"/>
      <c r="F26" s="1324"/>
      <c r="G26" s="751"/>
      <c r="H26" s="262"/>
      <c r="I26" s="262"/>
      <c r="J26" s="494"/>
      <c r="K26" s="262"/>
      <c r="L26" s="755"/>
      <c r="M26" s="262"/>
      <c r="N26" s="770" t="str">
        <f t="shared" ref="N26" si="7">IF(G26&lt;&gt;"",L26*$K26,"")</f>
        <v/>
      </c>
      <c r="O26" s="416"/>
      <c r="P26" s="485"/>
      <c r="Q26" s="45"/>
      <c r="R26" s="12"/>
    </row>
    <row r="27" spans="1:18" x14ac:dyDescent="0.2">
      <c r="B27" s="689" t="s">
        <v>343</v>
      </c>
      <c r="C27" s="124" t="s">
        <v>343</v>
      </c>
      <c r="D27" s="487">
        <f>'Grid Mix Customization'!F31</f>
        <v>108.5873463079036</v>
      </c>
      <c r="E27" s="492">
        <f>'Summary Ref Tables'!F34</f>
        <v>2.8593799075694353</v>
      </c>
      <c r="F27" s="491"/>
      <c r="G27" s="775">
        <f>IF(ISNUMBER('Summary Ref Tables'!J34),'Summary Ref Tables'!J34,"")</f>
        <v>21.043376318874564</v>
      </c>
      <c r="H27" s="263" t="str">
        <f>IF(F27&lt;&gt;"",F27*$E27,"")</f>
        <v/>
      </c>
      <c r="I27" s="752" t="str">
        <f t="shared" ref="I27:I29" si="8">IF(F27&lt;&gt;"",G27*$F27,"")</f>
        <v/>
      </c>
      <c r="J27" s="489" t="str">
        <f>IF(F27&lt;&gt;"",F27*$D27*0.0005,"")</f>
        <v/>
      </c>
      <c r="K27" s="493"/>
      <c r="L27" s="775">
        <f>IF(ISNUMBER('Summary Ref Tables'!J8),'Summary Ref Tables'!J8,"")</f>
        <v>21.043376318874564</v>
      </c>
      <c r="M27" s="263" t="str">
        <f>IF(K27&lt;&gt;"",K27*$E27,"")</f>
        <v/>
      </c>
      <c r="N27" s="752" t="str">
        <f>IF(K27&lt;&gt;"",L27*$K27,"")</f>
        <v/>
      </c>
      <c r="O27" s="793" t="str">
        <f>IF(K27&lt;&gt;"",K27*$D27*0.0005,"")</f>
        <v/>
      </c>
      <c r="P27" s="485"/>
      <c r="Q27" s="45"/>
      <c r="R27" s="12"/>
    </row>
    <row r="28" spans="1:18" x14ac:dyDescent="0.2">
      <c r="B28" s="682" t="s">
        <v>420</v>
      </c>
      <c r="C28" s="701" t="s">
        <v>421</v>
      </c>
      <c r="D28" s="487">
        <f>INDEX('Summary Ref Tables'!K35:K41,MATCH(C28,'Summary Ref Tables'!E35:E41,0))</f>
        <v>165.29625960000001</v>
      </c>
      <c r="E28" s="492">
        <f>'Summary Ref Tables'!F35</f>
        <v>1</v>
      </c>
      <c r="F28" s="491"/>
      <c r="G28" s="775">
        <f>INDEX('Summary Ref Tables'!J35:J41,MATCH(C28,'Summary Ref Tables'!E35:E41,0))</f>
        <v>18.63895486935867</v>
      </c>
      <c r="H28" s="263" t="str">
        <f t="shared" ref="H28:H30" si="9">IF(F28&lt;&gt;"",F28*$E28,"")</f>
        <v/>
      </c>
      <c r="I28" s="752" t="str">
        <f t="shared" si="8"/>
        <v/>
      </c>
      <c r="J28" s="489" t="str">
        <f t="shared" ref="J28:J30" si="10">IF(F28&lt;&gt;"",F28*$D28*0.0005,"")</f>
        <v/>
      </c>
      <c r="K28" s="493"/>
      <c r="L28" s="775">
        <f>INDEX('Summary Ref Tables'!J35:J41,MATCH(C28,'Summary Ref Tables'!E35:E41,0))</f>
        <v>18.63895486935867</v>
      </c>
      <c r="M28" s="263" t="str">
        <f t="shared" ref="M28:M33" si="11">IF(K28&lt;&gt;"",K28*$E28,"")</f>
        <v/>
      </c>
      <c r="N28" s="752" t="str">
        <f>IF(K28&lt;&gt;"",L28*$K28,"")</f>
        <v/>
      </c>
      <c r="O28" s="793" t="str">
        <f t="shared" ref="O28:O33" si="12">IF(K28&lt;&gt;"",K28*$D28*0.0005,"")</f>
        <v/>
      </c>
      <c r="P28" s="485"/>
      <c r="Q28" s="45"/>
      <c r="R28" s="12"/>
    </row>
    <row r="29" spans="1:18" x14ac:dyDescent="0.2">
      <c r="B29" s="689" t="s">
        <v>348</v>
      </c>
      <c r="C29" s="124" t="s">
        <v>422</v>
      </c>
      <c r="D29" s="487">
        <f>'Summary Ref Tables'!K42</f>
        <v>138.171378</v>
      </c>
      <c r="E29" s="492">
        <f>'Summary Ref Tables'!F42</f>
        <v>1</v>
      </c>
      <c r="F29" s="491"/>
      <c r="G29" s="775">
        <f>IF(ISNUMBER('Summary Ref Tables'!J21),'Summary Ref Tables'!J21,"")</f>
        <v>5.7940327237728582</v>
      </c>
      <c r="H29" s="263" t="str">
        <f t="shared" si="9"/>
        <v/>
      </c>
      <c r="I29" s="752" t="str">
        <f t="shared" si="8"/>
        <v/>
      </c>
      <c r="J29" s="489" t="str">
        <f t="shared" si="10"/>
        <v/>
      </c>
      <c r="K29" s="491"/>
      <c r="L29" s="775">
        <f>IF(ISNUMBER('Summary Ref Tables'!J21),'Summary Ref Tables'!J21,"")</f>
        <v>5.7940327237728582</v>
      </c>
      <c r="M29" s="263" t="str">
        <f t="shared" si="11"/>
        <v/>
      </c>
      <c r="N29" s="752" t="str">
        <f t="shared" ref="N29:N33" si="13">IF(K29&lt;&gt;"",L29*$K29,"")</f>
        <v/>
      </c>
      <c r="O29" s="793" t="str">
        <f t="shared" si="12"/>
        <v/>
      </c>
      <c r="P29" s="485"/>
      <c r="Q29" s="45"/>
      <c r="R29" s="12"/>
    </row>
    <row r="30" spans="1:18" x14ac:dyDescent="0.2">
      <c r="B30" s="690" t="s">
        <v>423</v>
      </c>
      <c r="C30" s="124" t="s">
        <v>424</v>
      </c>
      <c r="D30" s="767">
        <f>'Summary Ref Tables'!K43</f>
        <v>165.25020480000001</v>
      </c>
      <c r="E30" s="492">
        <f>'Summary Ref Tables'!F43</f>
        <v>1</v>
      </c>
      <c r="F30" s="491"/>
      <c r="G30" s="775">
        <f>IF(ISNUMBER('Summary Ref Tables'!J22),'Summary Ref Tables'!J22,"")</f>
        <v>2.89</v>
      </c>
      <c r="H30" s="263" t="str">
        <f t="shared" si="9"/>
        <v/>
      </c>
      <c r="I30" s="752" t="str">
        <f>IF(F30&lt;&gt;"",G30*$F30,"")</f>
        <v/>
      </c>
      <c r="J30" s="489" t="str">
        <f t="shared" si="10"/>
        <v/>
      </c>
      <c r="K30" s="491"/>
      <c r="L30" s="775">
        <f>IF(ISNUMBER('Summary Ref Tables'!J22),'Summary Ref Tables'!J22,"")</f>
        <v>2.89</v>
      </c>
      <c r="M30" s="263" t="str">
        <f t="shared" si="11"/>
        <v/>
      </c>
      <c r="N30" s="752" t="str">
        <f t="shared" si="13"/>
        <v/>
      </c>
      <c r="O30" s="793" t="str">
        <f t="shared" si="12"/>
        <v/>
      </c>
      <c r="P30" s="485"/>
      <c r="Q30" s="45"/>
      <c r="R30" s="12"/>
    </row>
    <row r="31" spans="1:18" x14ac:dyDescent="0.2">
      <c r="B31" s="691" t="s">
        <v>353</v>
      </c>
      <c r="C31" s="769"/>
      <c r="D31" s="487" t="str">
        <f>IF(C31="","",INDEX('Summary Ref Tables'!K34:K43,MATCH(C31,'Summary Ref Tables'!E34:E43,0)))</f>
        <v/>
      </c>
      <c r="E31" s="492" t="str">
        <f>IF(C31="","",INDEX('Summary Ref Tables'!F34:F43,MATCH(C31,'Summary Ref Tables'!E34:E43,0)))</f>
        <v/>
      </c>
      <c r="F31" s="491"/>
      <c r="G31" s="775" t="str">
        <f>IF(C31="","",INDEX('Summary Ref Tables'!J34:J43,MATCH(C31,'Summary Ref Tables'!E34:E43,0)))</f>
        <v/>
      </c>
      <c r="H31" s="263" t="str">
        <f>IF(F31&lt;&gt;"",F31*$E31,"")</f>
        <v/>
      </c>
      <c r="I31" s="752" t="str">
        <f>IF(F31&lt;&gt;"",G31*$F31,"")</f>
        <v/>
      </c>
      <c r="J31" s="489" t="str">
        <f>IF(F31&lt;&gt;"",F31*$D31*0.0005,"")</f>
        <v/>
      </c>
      <c r="K31" s="491"/>
      <c r="L31" s="775" t="str">
        <f>IF(C31="","",INDEX('Summary Ref Tables'!J34:J43,MATCH(C31,'Summary Ref Tables'!E34:E43,0)))</f>
        <v/>
      </c>
      <c r="M31" s="263" t="str">
        <f t="shared" si="11"/>
        <v/>
      </c>
      <c r="N31" s="752" t="str">
        <f t="shared" si="13"/>
        <v/>
      </c>
      <c r="O31" s="793" t="str">
        <f t="shared" si="12"/>
        <v/>
      </c>
      <c r="R31" s="112"/>
    </row>
    <row r="32" spans="1:18" x14ac:dyDescent="0.2">
      <c r="B32" s="691" t="s">
        <v>354</v>
      </c>
      <c r="C32" s="769"/>
      <c r="D32" s="487" t="str">
        <f>IF(C32="","",INDEX('Summary Ref Tables'!K34:K43,MATCH(C32,'Summary Ref Tables'!E34:E43,0)))</f>
        <v/>
      </c>
      <c r="E32" s="492" t="str">
        <f>IF(C32="","",INDEX('Summary Ref Tables'!F34:F43,MATCH(C32,'Summary Ref Tables'!E34:E43,0)))</f>
        <v/>
      </c>
      <c r="F32" s="491"/>
      <c r="G32" s="775" t="str">
        <f>IF(C32="","",INDEX('Summary Ref Tables'!J34:J43,MATCH(C32,'Summary Ref Tables'!E34:E43,0)))</f>
        <v/>
      </c>
      <c r="H32" s="263" t="str">
        <f>IF(F32&lt;&gt;"",F32*$E32,"")</f>
        <v/>
      </c>
      <c r="I32" s="752" t="str">
        <f t="shared" ref="I32" si="14">IF(F32&lt;&gt;"",G32*$F32,"")</f>
        <v/>
      </c>
      <c r="J32" s="489" t="str">
        <f>IF(F32&lt;&gt;"",F32*$D32*0.0005,"")</f>
        <v/>
      </c>
      <c r="K32" s="491"/>
      <c r="L32" s="775" t="str">
        <f>IF(C32="","",INDEX('Summary Ref Tables'!J34:J43,MATCH(C32,'Summary Ref Tables'!E34:E43,0)))</f>
        <v/>
      </c>
      <c r="M32" s="263" t="str">
        <f t="shared" si="11"/>
        <v/>
      </c>
      <c r="N32" s="752" t="str">
        <f t="shared" si="13"/>
        <v/>
      </c>
      <c r="O32" s="793" t="str">
        <f t="shared" si="12"/>
        <v/>
      </c>
      <c r="R32" s="112"/>
    </row>
    <row r="33" spans="2:18" x14ac:dyDescent="0.2">
      <c r="B33" s="691" t="s">
        <v>356</v>
      </c>
      <c r="C33" s="769"/>
      <c r="D33" s="487" t="str">
        <f>IF(C33="","",INDEX('Summary Ref Tables'!K34:K43,MATCH(C33,'Summary Ref Tables'!E34:E43,0)))</f>
        <v/>
      </c>
      <c r="E33" s="492" t="str">
        <f>IF(C33="","",INDEX('Summary Ref Tables'!F34:F43,MATCH(C33,'Summary Ref Tables'!E34:E43,0)))</f>
        <v/>
      </c>
      <c r="F33" s="490"/>
      <c r="G33" s="775" t="str">
        <f>IF(C33="","",INDEX('Summary Ref Tables'!J34:J43,MATCH(C33,'Summary Ref Tables'!E34:E43,0)))</f>
        <v/>
      </c>
      <c r="H33" s="263" t="str">
        <f>IF(F33&lt;&gt;"",F33*$E33,"")</f>
        <v/>
      </c>
      <c r="I33" s="752" t="str">
        <f>IF(F33&lt;&gt;"",G33*$F33,"")</f>
        <v/>
      </c>
      <c r="J33" s="489" t="str">
        <f>IF(F33&lt;&gt;"",F33*$D33*0.0005,"")</f>
        <v/>
      </c>
      <c r="K33" s="491"/>
      <c r="L33" s="775" t="str">
        <f>IF(C33="","",INDEX('Summary Ref Tables'!J34:J43,MATCH(C33,'Summary Ref Tables'!E34:E43,0)))</f>
        <v/>
      </c>
      <c r="M33" s="263" t="str">
        <f t="shared" si="11"/>
        <v/>
      </c>
      <c r="N33" s="752" t="str">
        <f t="shared" si="13"/>
        <v/>
      </c>
      <c r="O33" s="793" t="str">
        <f t="shared" si="12"/>
        <v/>
      </c>
      <c r="P33" s="485"/>
      <c r="Q33" s="45"/>
      <c r="R33" s="12"/>
    </row>
    <row r="34" spans="2:18" ht="29" x14ac:dyDescent="0.2">
      <c r="B34" s="211"/>
      <c r="C34" s="64"/>
      <c r="D34" s="21"/>
      <c r="F34" s="495" t="s">
        <v>425</v>
      </c>
      <c r="G34" s="495"/>
      <c r="H34" s="390">
        <f>SUM(H15:H33)</f>
        <v>127462788.27441922</v>
      </c>
      <c r="I34" s="756">
        <f>SUM(I15:I33)</f>
        <v>938060055.68581498</v>
      </c>
      <c r="J34" s="411">
        <f>SUM(J15:J33)</f>
        <v>2420273.5003366289</v>
      </c>
      <c r="K34" s="498" t="s">
        <v>426</v>
      </c>
      <c r="L34" s="498"/>
      <c r="M34" s="390">
        <f>SUM(M15:M33)</f>
        <v>86410985.718984723</v>
      </c>
      <c r="N34" s="756">
        <f>SUM(N15:N33)</f>
        <v>984677799.44939613</v>
      </c>
      <c r="O34" s="411">
        <f>SUM(O15:O33)</f>
        <v>-8677866.7774861939</v>
      </c>
      <c r="P34" s="485"/>
      <c r="Q34" s="45"/>
      <c r="R34" s="12"/>
    </row>
    <row r="35" spans="2:18" x14ac:dyDescent="0.2">
      <c r="B35" s="614"/>
      <c r="C35" s="21"/>
      <c r="D35" s="170"/>
      <c r="E35" s="170"/>
      <c r="F35" s="443" t="s">
        <v>427</v>
      </c>
      <c r="G35" s="443"/>
      <c r="H35" s="497">
        <f>AnnualUsePhaseEnergy_Current*0.000001</f>
        <v>127.46278827441921</v>
      </c>
      <c r="I35" s="497"/>
      <c r="J35" s="496">
        <f>AnnualUsePhaseEmissions_Current*0.000001</f>
        <v>2.4202735003366289</v>
      </c>
      <c r="K35" s="443" t="s">
        <v>427</v>
      </c>
      <c r="L35" s="443"/>
      <c r="M35" s="497">
        <f>AnnualUsePhaseEnergy_Hypoth*0.000001</f>
        <v>86.410985718984719</v>
      </c>
      <c r="N35" s="497"/>
      <c r="O35" s="496">
        <f>AnnualUsePhaseEmissions_Hypothetical*0.000001</f>
        <v>-8.6778667774861944</v>
      </c>
      <c r="P35" s="171"/>
      <c r="Q35" s="45"/>
      <c r="R35" s="12"/>
    </row>
    <row r="36" spans="2:18" x14ac:dyDescent="0.2">
      <c r="B36" s="658" t="s">
        <v>428</v>
      </c>
      <c r="C36" s="21"/>
      <c r="D36" s="170"/>
      <c r="E36" s="170"/>
      <c r="F36" s="21"/>
      <c r="G36" s="21"/>
      <c r="H36" s="66"/>
      <c r="I36" s="66"/>
      <c r="J36" s="66"/>
      <c r="K36" s="171"/>
      <c r="L36" s="171"/>
      <c r="M36" s="66"/>
      <c r="N36" s="66"/>
      <c r="O36" s="171"/>
      <c r="P36" s="171"/>
      <c r="Q36" s="45"/>
      <c r="R36" s="12"/>
    </row>
    <row r="37" spans="2:18" x14ac:dyDescent="0.2">
      <c r="B37" s="167"/>
      <c r="C37" s="9"/>
      <c r="D37" s="168"/>
      <c r="E37" s="168"/>
      <c r="F37" s="9"/>
      <c r="G37" s="9"/>
      <c r="H37" s="169"/>
      <c r="I37" s="169"/>
      <c r="J37" s="169"/>
      <c r="K37" s="172"/>
      <c r="L37" s="172"/>
      <c r="M37" s="169"/>
      <c r="N37" s="169"/>
      <c r="O37" s="172"/>
      <c r="P37" s="172"/>
      <c r="Q37" s="89"/>
      <c r="R37" s="90"/>
    </row>
    <row r="38" spans="2:18" ht="18" x14ac:dyDescent="0.2">
      <c r="B38" s="1297" t="s">
        <v>122</v>
      </c>
      <c r="C38" s="1164"/>
      <c r="D38" s="1164"/>
      <c r="E38" s="1164"/>
      <c r="F38" s="1164"/>
      <c r="G38" s="1164"/>
      <c r="H38" s="1164"/>
      <c r="I38" s="1164"/>
      <c r="J38" s="1164"/>
      <c r="K38" s="1164"/>
      <c r="L38" s="1164"/>
      <c r="M38" s="1164"/>
      <c r="N38" s="1164"/>
      <c r="O38" s="1164"/>
      <c r="P38" s="1164"/>
      <c r="Q38" s="1164"/>
      <c r="R38" s="1322"/>
    </row>
    <row r="39" spans="2:18" ht="18" x14ac:dyDescent="0.2">
      <c r="B39" s="603"/>
      <c r="C39" s="597"/>
      <c r="D39" s="597"/>
      <c r="E39" s="597"/>
      <c r="F39" s="597"/>
      <c r="G39" s="597"/>
      <c r="H39" s="597"/>
      <c r="I39" s="597"/>
      <c r="J39" s="597"/>
      <c r="K39" s="597"/>
      <c r="L39" s="597"/>
      <c r="M39" s="597"/>
      <c r="N39" s="597"/>
      <c r="O39" s="597"/>
      <c r="P39" s="597"/>
      <c r="Q39" s="597"/>
      <c r="R39" s="112"/>
    </row>
    <row r="40" spans="2:18" ht="15" customHeight="1" x14ac:dyDescent="0.2">
      <c r="B40" s="1145" t="s">
        <v>123</v>
      </c>
      <c r="C40" s="1207" t="s">
        <v>429</v>
      </c>
      <c r="D40" s="1208"/>
      <c r="E40" s="1208"/>
      <c r="F40" s="1208"/>
      <c r="G40" s="1208"/>
      <c r="H40" s="1208"/>
      <c r="I40" s="1208"/>
      <c r="J40" s="1208"/>
      <c r="K40" s="1208"/>
      <c r="L40" s="1208"/>
      <c r="M40" s="1208"/>
      <c r="N40" s="1208"/>
      <c r="O40" s="1208"/>
      <c r="P40" s="1208"/>
      <c r="Q40" s="1209"/>
      <c r="R40" s="12"/>
    </row>
    <row r="41" spans="2:18" x14ac:dyDescent="0.2">
      <c r="B41" s="1145"/>
      <c r="C41" s="1207"/>
      <c r="D41" s="1208"/>
      <c r="E41" s="1208"/>
      <c r="F41" s="1208"/>
      <c r="G41" s="1208"/>
      <c r="H41" s="1208"/>
      <c r="I41" s="1208"/>
      <c r="J41" s="1208"/>
      <c r="K41" s="1208"/>
      <c r="L41" s="1208"/>
      <c r="M41" s="1208"/>
      <c r="N41" s="1208"/>
      <c r="O41" s="1208"/>
      <c r="P41" s="1208"/>
      <c r="Q41" s="1209"/>
      <c r="R41" s="12"/>
    </row>
    <row r="42" spans="2:18" x14ac:dyDescent="0.2">
      <c r="B42" s="1145"/>
      <c r="C42" s="1207"/>
      <c r="D42" s="1208"/>
      <c r="E42" s="1208"/>
      <c r="F42" s="1208"/>
      <c r="G42" s="1208"/>
      <c r="H42" s="1208"/>
      <c r="I42" s="1208"/>
      <c r="J42" s="1208"/>
      <c r="K42" s="1208"/>
      <c r="L42" s="1208"/>
      <c r="M42" s="1208"/>
      <c r="N42" s="1208"/>
      <c r="O42" s="1208"/>
      <c r="P42" s="1208"/>
      <c r="Q42" s="1209"/>
      <c r="R42" s="12"/>
    </row>
    <row r="43" spans="2:18" x14ac:dyDescent="0.2">
      <c r="B43" s="1145"/>
      <c r="C43" s="1207"/>
      <c r="D43" s="1208"/>
      <c r="E43" s="1208"/>
      <c r="F43" s="1208"/>
      <c r="G43" s="1208"/>
      <c r="H43" s="1208"/>
      <c r="I43" s="1208"/>
      <c r="J43" s="1208"/>
      <c r="K43" s="1208"/>
      <c r="L43" s="1208"/>
      <c r="M43" s="1208"/>
      <c r="N43" s="1208"/>
      <c r="O43" s="1208"/>
      <c r="P43" s="1208"/>
      <c r="Q43" s="1209"/>
      <c r="R43" s="12"/>
    </row>
    <row r="44" spans="2:18" x14ac:dyDescent="0.2">
      <c r="B44" s="1145"/>
      <c r="C44" s="1207"/>
      <c r="D44" s="1208"/>
      <c r="E44" s="1208"/>
      <c r="F44" s="1208"/>
      <c r="G44" s="1208"/>
      <c r="H44" s="1208"/>
      <c r="I44" s="1208"/>
      <c r="J44" s="1208"/>
      <c r="K44" s="1208"/>
      <c r="L44" s="1208"/>
      <c r="M44" s="1208"/>
      <c r="N44" s="1208"/>
      <c r="O44" s="1208"/>
      <c r="P44" s="1208"/>
      <c r="Q44" s="1209"/>
      <c r="R44" s="12"/>
    </row>
    <row r="45" spans="2:18" x14ac:dyDescent="0.2">
      <c r="B45" s="2"/>
      <c r="C45" s="3"/>
      <c r="D45" s="3"/>
      <c r="E45" s="3"/>
      <c r="F45" s="3"/>
      <c r="G45" s="3"/>
      <c r="H45" s="3"/>
      <c r="I45" s="3"/>
      <c r="J45" s="3"/>
      <c r="K45" s="3"/>
      <c r="L45" s="3"/>
      <c r="M45" s="3"/>
      <c r="N45" s="3"/>
      <c r="O45" s="3"/>
      <c r="P45" s="3"/>
      <c r="Q45" s="3"/>
      <c r="R45" s="112"/>
    </row>
    <row r="46" spans="2:18" ht="18" x14ac:dyDescent="0.2">
      <c r="B46" s="1163" t="s">
        <v>170</v>
      </c>
      <c r="C46" s="1165"/>
      <c r="D46" s="1165"/>
      <c r="E46" s="1165"/>
      <c r="F46" s="1165"/>
      <c r="G46" s="1165"/>
      <c r="H46" s="1165"/>
      <c r="I46" s="1165"/>
      <c r="J46" s="1165"/>
      <c r="K46" s="1165"/>
      <c r="L46" s="1165"/>
      <c r="M46" s="1165"/>
      <c r="N46" s="1165"/>
      <c r="O46" s="1165"/>
      <c r="P46" s="1165"/>
      <c r="Q46" s="1165"/>
      <c r="R46" s="1326"/>
    </row>
    <row r="47" spans="2:18" ht="18" x14ac:dyDescent="0.2">
      <c r="B47" s="7" t="s">
        <v>171</v>
      </c>
      <c r="C47" s="597"/>
      <c r="D47" s="597"/>
      <c r="E47" s="597"/>
      <c r="F47" s="597"/>
      <c r="G47" s="597"/>
      <c r="H47" s="597"/>
      <c r="I47" s="597"/>
      <c r="J47" s="597"/>
      <c r="K47" s="597"/>
      <c r="L47" s="597"/>
      <c r="M47" s="597"/>
      <c r="N47" s="597"/>
      <c r="O47" s="597"/>
      <c r="P47" s="597"/>
      <c r="Q47" s="597"/>
      <c r="R47" s="6"/>
    </row>
    <row r="48" spans="2:18" ht="18" x14ac:dyDescent="0.2">
      <c r="B48" s="147" t="s">
        <v>430</v>
      </c>
      <c r="C48" s="18"/>
      <c r="D48" s="148"/>
      <c r="E48" s="148"/>
      <c r="F48" s="148"/>
      <c r="G48" s="148"/>
      <c r="H48" s="148"/>
      <c r="I48" s="148"/>
      <c r="J48" s="148"/>
      <c r="K48" s="597"/>
      <c r="L48" s="597"/>
      <c r="M48" s="597"/>
      <c r="N48" s="597"/>
      <c r="O48" s="597"/>
      <c r="P48" s="597"/>
      <c r="Q48" s="597"/>
      <c r="R48" s="6"/>
    </row>
    <row r="49" spans="2:18" ht="18" x14ac:dyDescent="0.2">
      <c r="B49" s="7" t="s">
        <v>431</v>
      </c>
      <c r="C49" s="18"/>
      <c r="D49" s="148"/>
      <c r="E49" s="148"/>
      <c r="F49" s="148"/>
      <c r="G49" s="148"/>
      <c r="H49" s="148"/>
      <c r="I49" s="148"/>
      <c r="J49" s="148"/>
      <c r="K49" s="597"/>
      <c r="L49" s="597"/>
      <c r="M49" s="597"/>
      <c r="N49" s="597"/>
      <c r="O49" s="597"/>
      <c r="P49" s="597"/>
      <c r="Q49" s="597"/>
      <c r="R49" s="6"/>
    </row>
    <row r="50" spans="2:18" ht="18" x14ac:dyDescent="0.2">
      <c r="B50" s="7" t="s">
        <v>432</v>
      </c>
      <c r="C50" s="18"/>
      <c r="D50" s="148"/>
      <c r="E50" s="148"/>
      <c r="F50" s="148"/>
      <c r="G50" s="148"/>
      <c r="H50" s="148"/>
      <c r="I50" s="148"/>
      <c r="J50" s="148"/>
      <c r="K50" s="597"/>
      <c r="L50" s="597"/>
      <c r="M50" s="597"/>
      <c r="N50" s="597"/>
      <c r="O50" s="597"/>
      <c r="P50" s="597"/>
      <c r="Q50" s="597"/>
      <c r="R50" s="6"/>
    </row>
    <row r="51" spans="2:18" ht="18" x14ac:dyDescent="0.2">
      <c r="B51" s="7" t="s">
        <v>433</v>
      </c>
      <c r="C51" s="18"/>
      <c r="D51" s="897">
        <v>12.212999999999999</v>
      </c>
      <c r="E51" s="898" t="s">
        <v>434</v>
      </c>
      <c r="F51" s="898"/>
      <c r="G51" s="899"/>
      <c r="H51" s="899"/>
      <c r="I51" s="899"/>
      <c r="J51" s="148"/>
      <c r="K51" s="597"/>
      <c r="L51" s="597"/>
      <c r="M51" s="597"/>
      <c r="N51" s="597"/>
      <c r="O51" s="597"/>
      <c r="P51" s="597"/>
      <c r="Q51" s="597"/>
      <c r="R51" s="6"/>
    </row>
    <row r="52" spans="2:18" ht="18" x14ac:dyDescent="0.2">
      <c r="B52" s="7"/>
      <c r="C52" s="18"/>
      <c r="D52" s="148"/>
      <c r="E52" s="148"/>
      <c r="F52" s="148"/>
      <c r="G52" s="148"/>
      <c r="H52" s="148"/>
      <c r="I52" s="148"/>
      <c r="J52" s="148"/>
      <c r="K52" s="597"/>
      <c r="L52" s="597"/>
      <c r="M52" s="597"/>
      <c r="N52" s="597"/>
      <c r="O52" s="597"/>
      <c r="P52" s="597"/>
      <c r="Q52" s="597"/>
      <c r="R52" s="6"/>
    </row>
    <row r="53" spans="2:18" ht="18" x14ac:dyDescent="0.2">
      <c r="B53" s="7" t="s">
        <v>435</v>
      </c>
      <c r="C53" s="18"/>
      <c r="D53" s="18"/>
      <c r="E53" s="18"/>
      <c r="F53" s="18"/>
      <c r="G53" s="18"/>
      <c r="H53" s="18"/>
      <c r="I53" s="18"/>
      <c r="J53" s="18"/>
      <c r="K53" s="597"/>
      <c r="L53" s="597"/>
      <c r="M53" s="597"/>
      <c r="N53" s="597"/>
      <c r="O53" s="597"/>
      <c r="P53" s="597"/>
      <c r="Q53" s="597"/>
      <c r="R53" s="6"/>
    </row>
    <row r="54" spans="2:18" ht="18" x14ac:dyDescent="0.2">
      <c r="B54" s="7" t="s">
        <v>436</v>
      </c>
      <c r="C54" s="18" t="s">
        <v>437</v>
      </c>
      <c r="D54" s="18"/>
      <c r="E54" s="18"/>
      <c r="F54" s="18"/>
      <c r="G54" s="18"/>
      <c r="H54" s="18"/>
      <c r="I54" s="18"/>
      <c r="J54" s="18"/>
      <c r="K54" s="597"/>
      <c r="L54" s="597"/>
      <c r="M54" s="597"/>
      <c r="N54" s="597"/>
      <c r="O54" s="597"/>
      <c r="P54" s="597"/>
      <c r="Q54" s="597"/>
      <c r="R54" s="6"/>
    </row>
    <row r="55" spans="2:18" ht="18" x14ac:dyDescent="0.2">
      <c r="B55" s="7"/>
      <c r="C55" s="18" t="s">
        <v>438</v>
      </c>
      <c r="D55" s="18"/>
      <c r="E55" s="18"/>
      <c r="F55" s="18"/>
      <c r="G55" s="18"/>
      <c r="H55" s="18"/>
      <c r="I55" s="18"/>
      <c r="J55" s="18"/>
      <c r="K55" s="597"/>
      <c r="L55" s="597"/>
      <c r="M55" s="597"/>
      <c r="N55" s="597"/>
      <c r="O55" s="597"/>
      <c r="P55" s="597"/>
      <c r="Q55" s="597"/>
      <c r="R55" s="6"/>
    </row>
    <row r="56" spans="2:18" ht="18" x14ac:dyDescent="0.2">
      <c r="B56" s="7"/>
      <c r="C56" s="18"/>
      <c r="D56" s="18"/>
      <c r="E56" s="18"/>
      <c r="F56" s="18"/>
      <c r="G56" s="18"/>
      <c r="H56" s="18"/>
      <c r="I56" s="18"/>
      <c r="J56" s="18"/>
      <c r="K56" s="597"/>
      <c r="L56" s="597"/>
      <c r="M56" s="597"/>
      <c r="N56" s="597"/>
      <c r="O56" s="597"/>
      <c r="P56" s="597"/>
      <c r="Q56" s="597"/>
      <c r="R56" s="6"/>
    </row>
    <row r="57" spans="2:18" ht="18" x14ac:dyDescent="0.2">
      <c r="B57" s="7" t="s">
        <v>439</v>
      </c>
      <c r="C57" s="18">
        <v>20</v>
      </c>
      <c r="D57" s="18" t="s">
        <v>281</v>
      </c>
      <c r="E57" s="18" t="s">
        <v>440</v>
      </c>
      <c r="F57" s="18"/>
      <c r="G57" s="18"/>
      <c r="H57" s="18"/>
      <c r="I57" s="18"/>
      <c r="J57" s="18"/>
      <c r="K57" s="597"/>
      <c r="L57" s="597"/>
      <c r="M57" s="597"/>
      <c r="N57" s="597"/>
      <c r="O57" s="597"/>
      <c r="P57" s="597"/>
      <c r="Q57" s="597"/>
      <c r="R57" s="6"/>
    </row>
    <row r="58" spans="2:18" ht="18" x14ac:dyDescent="0.2">
      <c r="B58" s="7"/>
      <c r="C58" s="18"/>
      <c r="D58" s="18"/>
      <c r="E58" s="18"/>
      <c r="F58" s="18"/>
      <c r="G58" s="18"/>
      <c r="H58" s="18"/>
      <c r="I58" s="18"/>
      <c r="J58" s="18"/>
      <c r="K58" s="597"/>
      <c r="L58" s="597"/>
      <c r="M58" s="597"/>
      <c r="N58" s="597"/>
      <c r="O58" s="597"/>
      <c r="P58" s="597"/>
      <c r="Q58" s="597"/>
      <c r="R58" s="6"/>
    </row>
    <row r="59" spans="2:18" ht="18" x14ac:dyDescent="0.2">
      <c r="B59" s="7" t="s">
        <v>441</v>
      </c>
      <c r="C59" s="18"/>
      <c r="D59" s="18"/>
      <c r="E59" s="18"/>
      <c r="F59" s="18"/>
      <c r="G59" s="18"/>
      <c r="H59" s="18"/>
      <c r="I59" s="18"/>
      <c r="J59" s="18"/>
      <c r="K59" s="597"/>
      <c r="L59" s="597"/>
      <c r="M59" s="597"/>
      <c r="N59" s="597"/>
      <c r="O59" s="597"/>
      <c r="P59" s="597"/>
      <c r="Q59" s="597"/>
      <c r="R59" s="6"/>
    </row>
    <row r="60" spans="2:18" ht="18" x14ac:dyDescent="0.2">
      <c r="B60" s="7" t="s">
        <v>442</v>
      </c>
      <c r="C60" s="18">
        <f>C65-C57</f>
        <v>80</v>
      </c>
      <c r="D60" s="18" t="s">
        <v>281</v>
      </c>
      <c r="E60" s="18"/>
      <c r="F60" s="18"/>
      <c r="G60" s="18"/>
      <c r="H60" s="18"/>
      <c r="I60" s="18"/>
      <c r="J60" s="18"/>
      <c r="K60" s="597"/>
      <c r="L60" s="597"/>
      <c r="M60" s="597"/>
      <c r="N60" s="597"/>
      <c r="O60" s="597"/>
      <c r="P60" s="597"/>
      <c r="Q60" s="597"/>
      <c r="R60" s="6"/>
    </row>
    <row r="61" spans="2:18" ht="18" x14ac:dyDescent="0.2">
      <c r="B61" s="7" t="s">
        <v>443</v>
      </c>
      <c r="C61" s="18">
        <f>175+C57</f>
        <v>195</v>
      </c>
      <c r="D61" s="18" t="s">
        <v>281</v>
      </c>
      <c r="E61" s="18" t="s">
        <v>444</v>
      </c>
      <c r="F61" s="18"/>
      <c r="G61" s="18"/>
      <c r="H61" s="18"/>
      <c r="I61" s="18"/>
      <c r="J61" s="18"/>
      <c r="K61" s="597"/>
      <c r="L61" s="597"/>
      <c r="M61" s="597"/>
      <c r="N61" s="597"/>
      <c r="O61" s="597"/>
      <c r="P61" s="597"/>
      <c r="Q61" s="597"/>
      <c r="R61" s="6"/>
    </row>
    <row r="62" spans="2:18" ht="18" x14ac:dyDescent="0.2">
      <c r="B62" s="7"/>
      <c r="C62" s="18"/>
      <c r="D62" s="18"/>
      <c r="E62" s="18"/>
      <c r="F62" s="18"/>
      <c r="G62" s="18"/>
      <c r="H62" s="18"/>
      <c r="I62" s="18"/>
      <c r="J62" s="18"/>
      <c r="K62" s="597"/>
      <c r="L62" s="597"/>
      <c r="M62" s="597"/>
      <c r="N62" s="597"/>
      <c r="O62" s="597"/>
      <c r="P62" s="597"/>
      <c r="Q62" s="597"/>
      <c r="R62" s="6"/>
    </row>
    <row r="63" spans="2:18" ht="18" x14ac:dyDescent="0.2">
      <c r="B63" s="7" t="s">
        <v>445</v>
      </c>
      <c r="C63" s="18"/>
      <c r="D63" s="18"/>
      <c r="E63" s="18"/>
      <c r="F63" s="18"/>
      <c r="G63" s="18"/>
      <c r="H63" s="18"/>
      <c r="I63" s="18"/>
      <c r="J63" s="18"/>
      <c r="K63" s="597"/>
      <c r="L63" s="597"/>
      <c r="M63" s="597"/>
      <c r="N63" s="597"/>
      <c r="O63" s="597"/>
      <c r="P63" s="597"/>
      <c r="Q63" s="597"/>
      <c r="R63" s="6"/>
    </row>
    <row r="64" spans="2:18" ht="18" x14ac:dyDescent="0.2">
      <c r="B64" s="7" t="s">
        <v>442</v>
      </c>
      <c r="C64" s="18">
        <v>105</v>
      </c>
      <c r="D64" s="18" t="s">
        <v>281</v>
      </c>
      <c r="E64" s="18"/>
      <c r="F64" s="18"/>
      <c r="G64" s="18"/>
      <c r="H64" s="18"/>
      <c r="I64" s="18"/>
      <c r="J64" s="18"/>
      <c r="K64" s="597"/>
      <c r="L64" s="597"/>
      <c r="M64" s="597"/>
      <c r="N64" s="597"/>
      <c r="O64" s="597"/>
      <c r="P64" s="597"/>
      <c r="Q64" s="597"/>
      <c r="R64" s="6"/>
    </row>
    <row r="65" spans="2:18" ht="18" x14ac:dyDescent="0.2">
      <c r="B65" s="7" t="s">
        <v>443</v>
      </c>
      <c r="C65" s="18">
        <v>100</v>
      </c>
      <c r="D65" s="18" t="s">
        <v>281</v>
      </c>
      <c r="E65" s="18"/>
      <c r="F65" s="18"/>
      <c r="G65" s="18"/>
      <c r="H65" s="18"/>
      <c r="I65" s="18"/>
      <c r="J65" s="18"/>
      <c r="K65" s="597"/>
      <c r="L65" s="597"/>
      <c r="M65" s="597"/>
      <c r="N65" s="597"/>
      <c r="O65" s="597"/>
      <c r="P65" s="597"/>
      <c r="Q65" s="597"/>
      <c r="R65" s="6"/>
    </row>
    <row r="66" spans="2:18" ht="18" x14ac:dyDescent="0.2">
      <c r="B66" s="7"/>
      <c r="C66" s="18"/>
      <c r="D66" s="18"/>
      <c r="E66" s="18"/>
      <c r="F66" s="18"/>
      <c r="G66" s="18"/>
      <c r="H66" s="18"/>
      <c r="I66" s="18"/>
      <c r="J66" s="18"/>
      <c r="K66" s="597"/>
      <c r="L66" s="597"/>
      <c r="M66" s="597"/>
      <c r="N66" s="597"/>
      <c r="O66" s="597"/>
      <c r="P66" s="597"/>
      <c r="Q66" s="597"/>
      <c r="R66" s="6"/>
    </row>
    <row r="67" spans="2:18" ht="18" x14ac:dyDescent="0.2">
      <c r="B67" s="7" t="s">
        <v>446</v>
      </c>
      <c r="C67" s="18">
        <f>(C61+C61*2)/(C61-C60)</f>
        <v>5.0869565217391308</v>
      </c>
      <c r="D67" s="18" t="s">
        <v>447</v>
      </c>
      <c r="E67" s="18"/>
      <c r="F67" s="18"/>
      <c r="G67" s="18"/>
      <c r="H67" s="18"/>
      <c r="I67" s="18"/>
      <c r="J67" s="18"/>
      <c r="K67" s="597"/>
      <c r="L67" s="597"/>
      <c r="M67" s="597"/>
      <c r="N67" s="597"/>
      <c r="O67" s="597"/>
      <c r="P67" s="597"/>
      <c r="Q67" s="597"/>
      <c r="R67" s="6"/>
    </row>
    <row r="68" spans="2:18" ht="18" x14ac:dyDescent="0.2">
      <c r="B68" s="7"/>
      <c r="C68" s="18"/>
      <c r="D68" s="18"/>
      <c r="E68" s="18"/>
      <c r="F68" s="18"/>
      <c r="G68" s="18"/>
      <c r="H68" s="18"/>
      <c r="I68" s="18"/>
      <c r="J68" s="18"/>
      <c r="K68" s="597"/>
      <c r="L68" s="597"/>
      <c r="M68" s="597"/>
      <c r="N68" s="597"/>
      <c r="O68" s="597"/>
      <c r="P68" s="597"/>
      <c r="Q68" s="597"/>
      <c r="R68" s="6"/>
    </row>
    <row r="69" spans="2:18" ht="18" x14ac:dyDescent="0.2">
      <c r="B69" s="7" t="s">
        <v>448</v>
      </c>
      <c r="C69" s="18"/>
      <c r="D69" s="18"/>
      <c r="E69" s="18"/>
      <c r="F69" s="18"/>
      <c r="G69" s="18"/>
      <c r="H69" s="18"/>
      <c r="I69" s="18"/>
      <c r="J69" s="18"/>
      <c r="K69" s="597"/>
      <c r="L69" s="597"/>
      <c r="M69" s="597"/>
      <c r="N69" s="597"/>
      <c r="O69" s="597"/>
      <c r="P69" s="597"/>
      <c r="Q69" s="597"/>
      <c r="R69" s="6"/>
    </row>
    <row r="70" spans="2:18" ht="18" x14ac:dyDescent="0.2">
      <c r="B70" s="7" t="s">
        <v>449</v>
      </c>
      <c r="C70" s="18">
        <v>0.75</v>
      </c>
      <c r="D70" s="18"/>
      <c r="E70" s="18"/>
      <c r="F70" s="18"/>
      <c r="G70" s="18"/>
      <c r="H70" s="18"/>
      <c r="I70" s="18"/>
      <c r="J70" s="18"/>
      <c r="K70" s="597"/>
      <c r="L70" s="597"/>
      <c r="M70" s="597"/>
      <c r="N70" s="597"/>
      <c r="O70" s="597"/>
      <c r="P70" s="597"/>
      <c r="Q70" s="597"/>
      <c r="R70" s="6"/>
    </row>
    <row r="71" spans="2:18" ht="18" x14ac:dyDescent="0.2">
      <c r="B71" s="7" t="s">
        <v>450</v>
      </c>
      <c r="C71" s="18">
        <f>C67*C70</f>
        <v>3.8152173913043481</v>
      </c>
      <c r="D71" s="18"/>
      <c r="E71" s="18"/>
      <c r="F71" s="18"/>
      <c r="G71" s="18"/>
      <c r="H71" s="18"/>
      <c r="I71" s="18"/>
      <c r="J71" s="18"/>
      <c r="K71" s="597"/>
      <c r="L71" s="597"/>
      <c r="M71" s="597"/>
      <c r="N71" s="597"/>
      <c r="O71" s="597"/>
      <c r="P71" s="597"/>
      <c r="Q71" s="597"/>
      <c r="R71" s="6"/>
    </row>
    <row r="72" spans="2:18" ht="18" x14ac:dyDescent="0.2">
      <c r="B72" s="7"/>
      <c r="C72" s="18"/>
      <c r="D72" s="18"/>
      <c r="E72" s="18"/>
      <c r="F72" s="18"/>
      <c r="G72" s="18"/>
      <c r="H72" s="18"/>
      <c r="I72" s="18"/>
      <c r="J72" s="18"/>
      <c r="K72" s="597"/>
      <c r="L72" s="597"/>
      <c r="M72" s="597"/>
      <c r="N72" s="597"/>
      <c r="O72" s="597"/>
      <c r="P72" s="597"/>
      <c r="Q72" s="597"/>
      <c r="R72" s="6"/>
    </row>
    <row r="73" spans="2:18" ht="18" x14ac:dyDescent="0.2">
      <c r="B73" s="7" t="s">
        <v>451</v>
      </c>
      <c r="C73" s="18"/>
      <c r="D73" s="18"/>
      <c r="E73" s="18"/>
      <c r="F73" s="18"/>
      <c r="G73" s="18"/>
      <c r="H73" s="18"/>
      <c r="I73" s="18"/>
      <c r="J73" s="18"/>
      <c r="K73" s="597"/>
      <c r="L73" s="597"/>
      <c r="M73" s="597"/>
      <c r="N73" s="597"/>
      <c r="O73" s="597"/>
      <c r="P73" s="597"/>
      <c r="Q73" s="597"/>
      <c r="R73" s="6"/>
    </row>
    <row r="74" spans="2:18" ht="18" x14ac:dyDescent="0.2">
      <c r="B74" s="7"/>
      <c r="C74" s="18"/>
      <c r="D74" s="18"/>
      <c r="E74" s="18"/>
      <c r="F74" s="18"/>
      <c r="G74" s="18"/>
      <c r="H74" s="18"/>
      <c r="I74" s="18"/>
      <c r="J74" s="18"/>
      <c r="K74" s="597"/>
      <c r="L74" s="597"/>
      <c r="M74" s="597"/>
      <c r="N74" s="597"/>
      <c r="O74" s="597"/>
      <c r="P74" s="597"/>
      <c r="Q74" s="597"/>
      <c r="R74" s="6"/>
    </row>
    <row r="75" spans="2:18" ht="18" x14ac:dyDescent="0.2">
      <c r="B75" s="7"/>
      <c r="C75" s="18"/>
      <c r="D75" s="18"/>
      <c r="E75" s="18"/>
      <c r="F75" s="18"/>
      <c r="G75" s="18"/>
      <c r="H75" s="18"/>
      <c r="I75" s="18"/>
      <c r="J75" s="18"/>
      <c r="K75" s="597"/>
      <c r="L75" s="597"/>
      <c r="M75" s="597"/>
      <c r="N75" s="597"/>
      <c r="O75" s="597"/>
      <c r="P75" s="597"/>
      <c r="Q75" s="597"/>
      <c r="R75" s="6"/>
    </row>
    <row r="76" spans="2:18" ht="18" x14ac:dyDescent="0.2">
      <c r="B76" s="7"/>
      <c r="C76" s="18"/>
      <c r="D76" s="18"/>
      <c r="E76" s="18"/>
      <c r="F76" s="18"/>
      <c r="G76" s="18"/>
      <c r="H76" s="18"/>
      <c r="I76" s="18"/>
      <c r="J76" s="18"/>
      <c r="K76" s="597"/>
      <c r="L76" s="597"/>
      <c r="M76" s="597"/>
      <c r="N76" s="597"/>
      <c r="O76" s="597"/>
      <c r="P76" s="597"/>
      <c r="Q76" s="597"/>
      <c r="R76" s="6"/>
    </row>
    <row r="77" spans="2:18" ht="18" x14ac:dyDescent="0.2">
      <c r="B77" s="7" t="s">
        <v>452</v>
      </c>
      <c r="C77" s="18"/>
      <c r="D77" s="18"/>
      <c r="E77" s="18"/>
      <c r="F77" s="18"/>
      <c r="G77" s="18"/>
      <c r="H77" s="18"/>
      <c r="I77" s="18"/>
      <c r="J77" s="18"/>
      <c r="K77" s="597"/>
      <c r="L77" s="597"/>
      <c r="M77" s="597"/>
      <c r="N77" s="597"/>
      <c r="O77" s="597"/>
      <c r="P77" s="597"/>
      <c r="Q77" s="597"/>
      <c r="R77" s="6"/>
    </row>
    <row r="78" spans="2:18" ht="18" x14ac:dyDescent="0.2">
      <c r="B78" s="7"/>
      <c r="C78" s="18"/>
      <c r="D78" s="18"/>
      <c r="E78" s="18"/>
      <c r="F78" s="18"/>
      <c r="G78" s="18"/>
      <c r="H78" s="18"/>
      <c r="I78" s="18"/>
      <c r="J78" s="18"/>
      <c r="K78" s="597"/>
      <c r="L78" s="597"/>
      <c r="M78" s="597"/>
      <c r="N78" s="597"/>
      <c r="O78" s="597"/>
      <c r="P78" s="597"/>
      <c r="Q78" s="597"/>
      <c r="R78" s="6"/>
    </row>
    <row r="79" spans="2:18" ht="18" x14ac:dyDescent="0.2">
      <c r="B79" s="7"/>
      <c r="C79" s="18"/>
      <c r="D79" s="18"/>
      <c r="E79" s="18"/>
      <c r="F79" s="18"/>
      <c r="G79" s="18"/>
      <c r="H79" s="18"/>
      <c r="I79" s="18"/>
      <c r="J79" s="18"/>
      <c r="K79" s="597"/>
      <c r="L79" s="597"/>
      <c r="M79" s="597"/>
      <c r="N79" s="597"/>
      <c r="O79" s="597"/>
      <c r="P79" s="597"/>
      <c r="Q79" s="597"/>
      <c r="R79" s="6"/>
    </row>
    <row r="80" spans="2:18" ht="18" x14ac:dyDescent="0.2">
      <c r="B80" s="7"/>
      <c r="C80" s="18"/>
      <c r="D80" s="18"/>
      <c r="E80" s="18"/>
      <c r="F80" s="18"/>
      <c r="G80" s="18"/>
      <c r="H80" s="18"/>
      <c r="I80" s="18"/>
      <c r="J80" s="18"/>
      <c r="K80" s="597"/>
      <c r="L80" s="597"/>
      <c r="M80" s="597"/>
      <c r="N80" s="597"/>
      <c r="O80" s="597"/>
      <c r="P80" s="597"/>
      <c r="Q80" s="597"/>
      <c r="R80" s="6"/>
    </row>
    <row r="81" spans="2:18" ht="18" x14ac:dyDescent="0.2">
      <c r="B81" s="7"/>
      <c r="C81" s="18"/>
      <c r="D81" s="18"/>
      <c r="E81" s="18"/>
      <c r="F81" s="18"/>
      <c r="G81" s="18"/>
      <c r="H81" s="18"/>
      <c r="I81" s="18"/>
      <c r="J81" s="18"/>
      <c r="K81" s="597"/>
      <c r="L81" s="597"/>
      <c r="M81" s="597"/>
      <c r="N81" s="597"/>
      <c r="O81" s="597"/>
      <c r="P81" s="597"/>
      <c r="Q81" s="597"/>
      <c r="R81" s="6"/>
    </row>
    <row r="82" spans="2:18" ht="18" x14ac:dyDescent="0.2">
      <c r="B82" s="7"/>
      <c r="C82" s="18"/>
      <c r="D82" s="18"/>
      <c r="E82" s="18"/>
      <c r="F82" s="18"/>
      <c r="G82" s="18"/>
      <c r="H82" s="18"/>
      <c r="I82" s="18"/>
      <c r="J82" s="18"/>
      <c r="K82" s="597"/>
      <c r="L82" s="597"/>
      <c r="M82" s="597"/>
      <c r="N82" s="597"/>
      <c r="O82" s="597"/>
      <c r="P82" s="597"/>
      <c r="Q82" s="597"/>
      <c r="R82" s="6"/>
    </row>
    <row r="83" spans="2:18" ht="18" x14ac:dyDescent="0.2">
      <c r="B83" s="7"/>
      <c r="C83" s="18"/>
      <c r="D83" s="18"/>
      <c r="E83" s="18"/>
      <c r="F83" s="18"/>
      <c r="G83" s="18"/>
      <c r="H83" s="18"/>
      <c r="I83" s="18"/>
      <c r="J83" s="18"/>
      <c r="K83" s="597"/>
      <c r="L83" s="597"/>
      <c r="M83" s="597"/>
      <c r="N83" s="597"/>
      <c r="O83" s="597"/>
      <c r="P83" s="597"/>
      <c r="Q83" s="597"/>
      <c r="R83" s="6"/>
    </row>
    <row r="84" spans="2:18" ht="18" x14ac:dyDescent="0.2">
      <c r="B84" s="7"/>
      <c r="C84" s="18"/>
      <c r="D84" s="18"/>
      <c r="E84" s="18"/>
      <c r="F84" s="18"/>
      <c r="G84" s="18"/>
      <c r="H84" s="18"/>
      <c r="I84" s="18"/>
      <c r="J84" s="18"/>
      <c r="K84" s="597"/>
      <c r="L84" s="597"/>
      <c r="M84" s="597"/>
      <c r="N84" s="597"/>
      <c r="O84" s="597"/>
      <c r="P84" s="597"/>
      <c r="Q84" s="597"/>
      <c r="R84" s="6"/>
    </row>
    <row r="85" spans="2:18" ht="18" x14ac:dyDescent="0.2">
      <c r="B85" s="7"/>
      <c r="C85" s="18"/>
      <c r="D85" s="18"/>
      <c r="E85" s="18"/>
      <c r="F85" s="18"/>
      <c r="G85" s="18"/>
      <c r="H85" s="18"/>
      <c r="I85" s="18"/>
      <c r="J85" s="18"/>
      <c r="K85" s="597"/>
      <c r="L85" s="597"/>
      <c r="M85" s="597"/>
      <c r="N85" s="597"/>
      <c r="O85" s="597"/>
      <c r="P85" s="597"/>
      <c r="Q85" s="597"/>
      <c r="R85" s="6"/>
    </row>
    <row r="86" spans="2:18" ht="18" x14ac:dyDescent="0.2">
      <c r="B86" s="7"/>
      <c r="C86" s="18"/>
      <c r="D86" s="18"/>
      <c r="E86" s="18"/>
      <c r="F86" s="18"/>
      <c r="G86" s="18"/>
      <c r="H86" s="18"/>
      <c r="I86" s="18"/>
      <c r="J86" s="18"/>
      <c r="K86" s="597"/>
      <c r="L86" s="597"/>
      <c r="M86" s="597"/>
      <c r="N86" s="597"/>
      <c r="O86" s="597"/>
      <c r="P86" s="597"/>
      <c r="Q86" s="597"/>
      <c r="R86" s="6"/>
    </row>
    <row r="87" spans="2:18" ht="18" x14ac:dyDescent="0.2">
      <c r="B87" s="7" t="s">
        <v>453</v>
      </c>
      <c r="C87" s="18">
        <v>2</v>
      </c>
      <c r="D87" s="18" t="s">
        <v>454</v>
      </c>
      <c r="E87" s="18"/>
      <c r="F87" s="18"/>
      <c r="G87" s="18"/>
      <c r="H87" s="18"/>
      <c r="I87" s="18"/>
      <c r="J87" s="18"/>
      <c r="K87" s="597"/>
      <c r="L87" s="597"/>
      <c r="M87" s="597"/>
      <c r="N87" s="597"/>
      <c r="O87" s="597"/>
      <c r="P87" s="597"/>
      <c r="Q87" s="597"/>
      <c r="R87" s="6"/>
    </row>
    <row r="88" spans="2:18" ht="18" x14ac:dyDescent="0.2">
      <c r="B88" s="7" t="s">
        <v>455</v>
      </c>
      <c r="C88" s="18">
        <v>8.34</v>
      </c>
      <c r="D88" s="18" t="s">
        <v>456</v>
      </c>
      <c r="E88" s="18"/>
      <c r="F88" s="18"/>
      <c r="G88" s="18"/>
      <c r="H88" s="18"/>
      <c r="I88" s="18"/>
      <c r="J88" s="18"/>
      <c r="K88" s="597"/>
      <c r="L88" s="597"/>
      <c r="M88" s="597"/>
      <c r="N88" s="597"/>
      <c r="O88" s="597"/>
      <c r="P88" s="597"/>
      <c r="Q88" s="597"/>
      <c r="R88" s="6"/>
    </row>
    <row r="89" spans="2:18" ht="18" x14ac:dyDescent="0.2">
      <c r="B89" s="7" t="s">
        <v>457</v>
      </c>
      <c r="C89" s="18">
        <v>1</v>
      </c>
      <c r="D89" s="18" t="s">
        <v>458</v>
      </c>
      <c r="E89" s="18"/>
      <c r="F89" s="18"/>
      <c r="G89" s="18"/>
      <c r="H89" s="18"/>
      <c r="I89" s="18"/>
      <c r="J89" s="18"/>
      <c r="K89" s="597"/>
      <c r="L89" s="597"/>
      <c r="M89" s="597"/>
      <c r="N89" s="597"/>
      <c r="O89" s="597"/>
      <c r="P89" s="597"/>
      <c r="Q89" s="597"/>
      <c r="R89" s="6"/>
    </row>
    <row r="90" spans="2:18" ht="18" x14ac:dyDescent="0.2">
      <c r="B90" s="7" t="s">
        <v>459</v>
      </c>
      <c r="C90" s="18">
        <f>C87*1000000*C88*C89*(C64-C65)</f>
        <v>83400000</v>
      </c>
      <c r="D90" s="18" t="s">
        <v>460</v>
      </c>
      <c r="E90" s="18"/>
      <c r="F90" s="18"/>
      <c r="G90" s="18"/>
      <c r="H90" s="18"/>
      <c r="I90" s="18"/>
      <c r="J90" s="18"/>
      <c r="K90" s="597"/>
      <c r="L90" s="597"/>
      <c r="M90" s="597"/>
      <c r="N90" s="597"/>
      <c r="O90" s="597"/>
      <c r="P90" s="597"/>
      <c r="Q90" s="597"/>
      <c r="R90" s="6"/>
    </row>
    <row r="91" spans="2:18" ht="18" x14ac:dyDescent="0.2">
      <c r="B91" s="7" t="s">
        <v>459</v>
      </c>
      <c r="C91" s="18">
        <f>C90/1000000</f>
        <v>83.4</v>
      </c>
      <c r="D91" s="18" t="s">
        <v>461</v>
      </c>
      <c r="E91" s="18"/>
      <c r="F91" s="18"/>
      <c r="G91" s="18"/>
      <c r="H91" s="18"/>
      <c r="I91" s="18"/>
      <c r="J91" s="18"/>
      <c r="K91" s="597"/>
      <c r="L91" s="597"/>
      <c r="M91" s="597"/>
      <c r="N91" s="597"/>
      <c r="O91" s="597"/>
      <c r="P91" s="597"/>
      <c r="Q91" s="597"/>
      <c r="R91" s="6"/>
    </row>
    <row r="92" spans="2:18" ht="18" x14ac:dyDescent="0.2">
      <c r="B92" s="7"/>
      <c r="C92" s="18"/>
      <c r="D92" s="18"/>
      <c r="E92" s="18"/>
      <c r="F92" s="18"/>
      <c r="G92" s="18"/>
      <c r="H92" s="18"/>
      <c r="I92" s="18"/>
      <c r="J92" s="18"/>
      <c r="K92" s="597"/>
      <c r="L92" s="597"/>
      <c r="M92" s="597"/>
      <c r="N92" s="597"/>
      <c r="O92" s="597"/>
      <c r="P92" s="597"/>
      <c r="Q92" s="597"/>
      <c r="R92" s="6"/>
    </row>
    <row r="93" spans="2:18" ht="18" x14ac:dyDescent="0.2">
      <c r="B93" s="900" t="s">
        <v>462</v>
      </c>
      <c r="C93" s="898">
        <f>C91/(C71-1)</f>
        <v>29.624710424710425</v>
      </c>
      <c r="D93" s="898" t="s">
        <v>463</v>
      </c>
      <c r="E93" s="18"/>
      <c r="F93" s="18"/>
      <c r="G93" s="18"/>
      <c r="H93" s="18"/>
      <c r="I93" s="18"/>
      <c r="J93" s="18"/>
      <c r="K93" s="597"/>
      <c r="L93" s="597"/>
      <c r="M93" s="597"/>
      <c r="N93" s="597"/>
      <c r="O93" s="597"/>
      <c r="P93" s="597"/>
      <c r="Q93" s="597"/>
      <c r="R93" s="6"/>
    </row>
    <row r="94" spans="2:18" ht="18" x14ac:dyDescent="0.2">
      <c r="B94" s="7" t="s">
        <v>464</v>
      </c>
      <c r="C94" s="18"/>
      <c r="D94" s="18"/>
      <c r="E94" s="18"/>
      <c r="F94" s="18"/>
      <c r="G94" s="18"/>
      <c r="H94" s="18"/>
      <c r="I94" s="18"/>
      <c r="J94" s="18"/>
      <c r="K94" s="597"/>
      <c r="L94" s="597"/>
      <c r="M94" s="597"/>
      <c r="N94" s="597"/>
      <c r="O94" s="597"/>
      <c r="P94" s="597"/>
      <c r="Q94" s="597"/>
      <c r="R94" s="6"/>
    </row>
    <row r="95" spans="2:18" ht="18" x14ac:dyDescent="0.2">
      <c r="B95" s="7"/>
      <c r="C95" s="18"/>
      <c r="D95" s="18"/>
      <c r="E95" s="18"/>
      <c r="F95" s="18"/>
      <c r="G95" s="18"/>
      <c r="H95" s="18"/>
      <c r="I95" s="18"/>
      <c r="J95" s="18"/>
      <c r="K95" s="597"/>
      <c r="L95" s="597"/>
      <c r="M95" s="597"/>
      <c r="N95" s="597"/>
      <c r="O95" s="597"/>
      <c r="P95" s="597"/>
      <c r="Q95" s="597"/>
      <c r="R95" s="6"/>
    </row>
    <row r="96" spans="2:18" ht="18" x14ac:dyDescent="0.2">
      <c r="B96" s="7"/>
      <c r="C96" s="18"/>
      <c r="D96" s="18"/>
      <c r="E96" s="18"/>
      <c r="F96" s="18"/>
      <c r="G96" s="18"/>
      <c r="H96" s="18"/>
      <c r="I96" s="18"/>
      <c r="J96" s="18"/>
      <c r="K96" s="597"/>
      <c r="L96" s="597"/>
      <c r="M96" s="597"/>
      <c r="N96" s="597"/>
      <c r="O96" s="597"/>
      <c r="P96" s="597"/>
      <c r="Q96" s="597"/>
      <c r="R96" s="6"/>
    </row>
    <row r="97" spans="2:18" ht="18" x14ac:dyDescent="0.2">
      <c r="B97" s="954" t="s">
        <v>465</v>
      </c>
      <c r="C97" s="45">
        <v>0.54</v>
      </c>
      <c r="D97" s="45" t="s">
        <v>466</v>
      </c>
      <c r="E97" s="18"/>
      <c r="F97" s="18"/>
      <c r="G97" s="18"/>
      <c r="H97" s="18"/>
      <c r="I97" s="18"/>
      <c r="J97" s="18"/>
      <c r="K97" s="597"/>
      <c r="L97" s="597"/>
      <c r="M97" s="597"/>
      <c r="N97" s="597"/>
      <c r="O97" s="597"/>
      <c r="P97" s="597"/>
      <c r="Q97" s="597"/>
      <c r="R97" s="6"/>
    </row>
    <row r="98" spans="2:18" ht="18" x14ac:dyDescent="0.2">
      <c r="B98" s="900" t="s">
        <v>467</v>
      </c>
      <c r="C98" s="898">
        <f>(C91+C93)*C97</f>
        <v>61.033343629343641</v>
      </c>
      <c r="D98" s="898" t="s">
        <v>461</v>
      </c>
      <c r="E98" s="597"/>
      <c r="F98" s="597"/>
      <c r="G98" s="597"/>
      <c r="H98" s="597"/>
      <c r="I98" s="597"/>
      <c r="J98" s="597"/>
      <c r="K98" s="597"/>
      <c r="L98" s="597"/>
      <c r="M98" s="597"/>
      <c r="N98" s="597"/>
      <c r="O98" s="597"/>
      <c r="P98" s="597"/>
      <c r="Q98" s="597"/>
      <c r="R98" s="6"/>
    </row>
    <row r="99" spans="2:18" x14ac:dyDescent="0.2">
      <c r="B99" s="141"/>
      <c r="C99" s="9"/>
      <c r="D99" s="9"/>
      <c r="E99" s="9"/>
      <c r="F99" s="9"/>
      <c r="G99" s="9"/>
      <c r="H99" s="9"/>
      <c r="I99" s="9"/>
      <c r="J99" s="9"/>
      <c r="K99" s="9"/>
      <c r="L99" s="9"/>
      <c r="M99" s="9"/>
      <c r="N99" s="9"/>
      <c r="O99" s="9"/>
      <c r="P99" s="9"/>
      <c r="Q99" s="9"/>
      <c r="R99" s="27"/>
    </row>
    <row r="100" spans="2:18" x14ac:dyDescent="0.2">
      <c r="B100" s="1206" t="s">
        <v>124</v>
      </c>
      <c r="C100" s="1169"/>
      <c r="D100" s="1169"/>
      <c r="E100" s="1170"/>
    </row>
  </sheetData>
  <mergeCells count="23">
    <mergeCell ref="B100:E100"/>
    <mergeCell ref="C44:Q44"/>
    <mergeCell ref="B46:R46"/>
    <mergeCell ref="B40:B44"/>
    <mergeCell ref="C41:Q41"/>
    <mergeCell ref="C42:Q42"/>
    <mergeCell ref="C43:Q43"/>
    <mergeCell ref="B8:O8"/>
    <mergeCell ref="B9:O9"/>
    <mergeCell ref="F12:J12"/>
    <mergeCell ref="B38:R38"/>
    <mergeCell ref="C40:Q40"/>
    <mergeCell ref="K12:O12"/>
    <mergeCell ref="D11:E11"/>
    <mergeCell ref="B26:F26"/>
    <mergeCell ref="B14:F14"/>
    <mergeCell ref="B7:O7"/>
    <mergeCell ref="B1:Q1"/>
    <mergeCell ref="B2:Q2"/>
    <mergeCell ref="B4:Q4"/>
    <mergeCell ref="B6:O6"/>
    <mergeCell ref="C3:F3"/>
    <mergeCell ref="G3:R3"/>
  </mergeCells>
  <hyperlinks>
    <hyperlink ref="B36" location="'Summary Ref Tables'!A1" display="** Link to reference data tab" xr:uid="{DBBADE5A-79AA-4ABA-B450-52C7CDCBAD2E}"/>
    <hyperlink ref="C3:E3" location="FullDataLanding" display="Return to Planning Page" xr:uid="{91B277E1-BA2F-405D-B1FB-02B19325A043}"/>
    <hyperlink ref="B100:D100" location="FullDataLanding" display="Return to Planning Page" xr:uid="{FD9BBF4F-BD03-4A0B-B0F3-C78013137030}"/>
    <hyperlink ref="C54" r:id="rId1" xr:uid="{BEDBF625-F47D-4239-A0C7-D76BD2C4C557}"/>
    <hyperlink ref="B100:E100" location="FullDataLanding" display="Return to Home Page" xr:uid="{DEE4AE80-48C3-4CB5-9031-C92F4D80CF99}"/>
  </hyperlink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count="6">
        <x14:dataValidation type="list" allowBlank="1" showInputMessage="1" showErrorMessage="1" xr:uid="{B92B359C-66F8-4D6E-94D5-D58D17FD7E04}">
          <x14:formula1>
            <xm:f>'Summary Ref Tables'!$E$17:$E$20</xm:f>
          </x14:formula1>
          <xm:sqref>C17</xm:sqref>
        </x14:dataValidation>
        <x14:dataValidation type="list" allowBlank="1" showInputMessage="1" showErrorMessage="1" xr:uid="{5764DD34-308E-4741-9C7F-4CB7AD406FE3}">
          <x14:formula1>
            <xm:f>'Summary Ref Tables'!$E$22:$E$29</xm:f>
          </x14:formula1>
          <xm:sqref>C19</xm:sqref>
        </x14:dataValidation>
        <x14:dataValidation type="list" allowBlank="1" showInputMessage="1" showErrorMessage="1" xr:uid="{0230C356-46F2-4D9F-85E9-E1EE04B9CBCB}">
          <x14:formula1>
            <xm:f>'Summary Ref Tables'!$E$35:$E$41</xm:f>
          </x14:formula1>
          <xm:sqref>C28</xm:sqref>
        </x14:dataValidation>
        <x14:dataValidation type="list" allowBlank="1" showInputMessage="1" showErrorMessage="1" xr:uid="{8A219469-1438-45F0-9261-EC543F90E198}">
          <x14:formula1>
            <xm:f>'Summary Ref Tables'!$E$9:$E$16</xm:f>
          </x14:formula1>
          <xm:sqref>C16</xm:sqref>
        </x14:dataValidation>
        <x14:dataValidation type="list" allowBlank="1" showInputMessage="1" showErrorMessage="1" xr:uid="{C6D64AB1-561E-4B7D-9D9C-629B67668497}">
          <x14:formula1>
            <xm:f>'Summary Ref Tables'!$E$8:$E$30</xm:f>
          </x14:formula1>
          <xm:sqref>C21:C23</xm:sqref>
        </x14:dataValidation>
        <x14:dataValidation type="list" allowBlank="1" showInputMessage="1" showErrorMessage="1" xr:uid="{FB683D16-D68B-4A58-99B9-DEC0287207AC}">
          <x14:formula1>
            <xm:f>'Summary Ref Tables'!$E$34:$E$43</xm:f>
          </x14:formula1>
          <xm:sqref>C31:C33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244-B369-406F-A43C-58F9A937D397}">
  <sheetPr>
    <tabColor rgb="FF00B050"/>
  </sheetPr>
  <dimension ref="A1:R79"/>
  <sheetViews>
    <sheetView showGridLines="0" topLeftCell="A38" zoomScale="120" zoomScaleNormal="120" workbookViewId="0">
      <selection activeCell="B27" sqref="B27:B30"/>
    </sheetView>
  </sheetViews>
  <sheetFormatPr baseColWidth="10" defaultColWidth="8.83203125" defaultRowHeight="15" x14ac:dyDescent="0.2"/>
  <cols>
    <col min="1" max="1" width="2.6640625" customWidth="1"/>
    <col min="2" max="2" width="15.6640625" customWidth="1"/>
    <col min="3" max="3" width="16.6640625" customWidth="1"/>
    <col min="4" max="4" width="20" customWidth="1"/>
    <col min="5" max="5" width="12.6640625" customWidth="1"/>
    <col min="6" max="6" width="12.5" customWidth="1"/>
    <col min="7" max="7" width="14" customWidth="1"/>
    <col min="8" max="8" width="13.5" customWidth="1"/>
    <col min="9" max="9" width="5" customWidth="1"/>
    <col min="10" max="10" width="15.6640625" customWidth="1"/>
    <col min="11" max="11" width="16.6640625" customWidth="1"/>
    <col min="12" max="12" width="20" customWidth="1"/>
    <col min="13" max="13" width="12.6640625" customWidth="1"/>
    <col min="14" max="14" width="12.5" customWidth="1"/>
    <col min="15" max="15" width="13.5" customWidth="1"/>
    <col min="16" max="16" width="14.6640625" customWidth="1"/>
    <col min="17" max="17" width="13.5" customWidth="1"/>
    <col min="18" max="18" width="2.6640625" customWidth="1"/>
  </cols>
  <sheetData>
    <row r="1" spans="1:18" ht="15.75" customHeight="1" x14ac:dyDescent="0.2">
      <c r="A1" s="5"/>
      <c r="B1" s="1159" t="s">
        <v>0</v>
      </c>
      <c r="C1" s="1160"/>
      <c r="D1" s="1160"/>
      <c r="E1" s="1160"/>
      <c r="F1" s="1160"/>
      <c r="G1" s="1160"/>
      <c r="H1" s="1160"/>
      <c r="I1" s="1160"/>
      <c r="J1" s="1160"/>
      <c r="K1" s="1160"/>
      <c r="L1" s="1160"/>
      <c r="M1" s="1160"/>
      <c r="N1" s="1160"/>
      <c r="O1" s="1160"/>
      <c r="P1" s="1160"/>
      <c r="Q1" s="1160"/>
      <c r="R1" s="665"/>
    </row>
    <row r="2" spans="1:18" ht="21" customHeight="1" x14ac:dyDescent="0.2">
      <c r="A2" s="5"/>
      <c r="B2" s="1161" t="s">
        <v>1</v>
      </c>
      <c r="C2" s="1162"/>
      <c r="D2" s="1333"/>
      <c r="E2" s="1333"/>
      <c r="F2" s="1333"/>
      <c r="G2" s="1333"/>
      <c r="H2" s="1162"/>
      <c r="I2" s="1162"/>
      <c r="J2" s="1162"/>
      <c r="K2" s="1162"/>
      <c r="L2" s="1162"/>
      <c r="M2" s="1162"/>
      <c r="N2" s="1162"/>
      <c r="O2" s="1162"/>
      <c r="P2" s="1162"/>
      <c r="Q2" s="1162"/>
      <c r="R2" s="32"/>
    </row>
    <row r="3" spans="1:18" ht="14.75" customHeight="1" x14ac:dyDescent="0.2">
      <c r="A3" s="5"/>
      <c r="B3" s="713"/>
      <c r="C3" s="714"/>
      <c r="D3" s="1206" t="s">
        <v>126</v>
      </c>
      <c r="E3" s="1169"/>
      <c r="F3" s="1169"/>
      <c r="G3" s="1170"/>
      <c r="H3" s="714"/>
      <c r="I3" s="714"/>
      <c r="J3" s="714"/>
      <c r="K3" s="714"/>
      <c r="L3" s="714"/>
      <c r="M3" s="714"/>
      <c r="N3" s="714"/>
      <c r="O3" s="714"/>
      <c r="P3" s="714"/>
      <c r="Q3" s="714"/>
      <c r="R3" s="716"/>
    </row>
    <row r="4" spans="1:18" ht="18" x14ac:dyDescent="0.2">
      <c r="A4" s="5"/>
      <c r="B4" s="1163" t="s">
        <v>468</v>
      </c>
      <c r="C4" s="1165"/>
      <c r="D4" s="1164"/>
      <c r="E4" s="1164"/>
      <c r="F4" s="1164"/>
      <c r="G4" s="1164"/>
      <c r="H4" s="1165"/>
      <c r="I4" s="1165"/>
      <c r="J4" s="1165"/>
      <c r="K4" s="1165"/>
      <c r="L4" s="1165"/>
      <c r="M4" s="1165"/>
      <c r="N4" s="1165"/>
      <c r="O4" s="1165"/>
      <c r="P4" s="1165"/>
      <c r="Q4" s="1165"/>
      <c r="R4" s="648"/>
    </row>
    <row r="5" spans="1:18" ht="18" x14ac:dyDescent="0.2">
      <c r="A5" s="5"/>
      <c r="B5" s="603"/>
      <c r="C5" s="597"/>
      <c r="D5" s="597"/>
      <c r="E5" s="597"/>
      <c r="F5" s="597"/>
      <c r="G5" s="597"/>
      <c r="H5" s="597"/>
      <c r="I5" s="597"/>
      <c r="J5" s="597"/>
      <c r="K5" s="597"/>
      <c r="L5" s="597"/>
      <c r="M5" s="597"/>
      <c r="N5" s="597"/>
      <c r="O5" s="597"/>
      <c r="P5" s="597"/>
      <c r="Q5" s="597"/>
      <c r="R5" s="6"/>
    </row>
    <row r="6" spans="1:18" ht="28.5" customHeight="1" x14ac:dyDescent="0.2">
      <c r="A6" s="5"/>
      <c r="B6" s="1188" t="s">
        <v>469</v>
      </c>
      <c r="C6" s="1189"/>
      <c r="D6" s="1189"/>
      <c r="E6" s="1189"/>
      <c r="F6" s="1189"/>
      <c r="G6" s="1189"/>
      <c r="H6" s="1189"/>
      <c r="I6" s="1189"/>
      <c r="J6" s="1189"/>
      <c r="K6" s="1189"/>
      <c r="L6" s="1189"/>
      <c r="M6" s="1189"/>
      <c r="N6" s="1189"/>
      <c r="O6" s="1189"/>
      <c r="P6" s="647"/>
      <c r="Q6" s="597"/>
      <c r="R6" s="6"/>
    </row>
    <row r="7" spans="1:18" ht="18" x14ac:dyDescent="0.2">
      <c r="A7" s="5"/>
      <c r="B7" s="646"/>
      <c r="C7" s="647"/>
      <c r="D7" s="647"/>
      <c r="E7" s="647"/>
      <c r="F7" s="647"/>
      <c r="G7" s="647"/>
      <c r="H7" s="597"/>
      <c r="I7" s="597"/>
      <c r="J7" s="597"/>
      <c r="K7" s="597"/>
      <c r="L7" s="597"/>
      <c r="M7" s="597"/>
      <c r="N7" s="597"/>
      <c r="O7" s="597"/>
      <c r="P7" s="597"/>
      <c r="Q7" s="597"/>
      <c r="R7" s="6"/>
    </row>
    <row r="8" spans="1:18" ht="19.5" customHeight="1" x14ac:dyDescent="0.2">
      <c r="A8" s="5"/>
      <c r="B8" s="43"/>
      <c r="C8" s="1262" t="s">
        <v>174</v>
      </c>
      <c r="D8" s="1263"/>
      <c r="E8" s="1263"/>
      <c r="F8" s="1263"/>
      <c r="G8" s="1263"/>
      <c r="H8" s="1264"/>
      <c r="I8" s="597"/>
      <c r="J8" s="77"/>
      <c r="K8" s="1262" t="s">
        <v>162</v>
      </c>
      <c r="L8" s="1263"/>
      <c r="M8" s="1263"/>
      <c r="N8" s="1263"/>
      <c r="O8" s="1264"/>
      <c r="P8" s="202"/>
      <c r="Q8" s="597"/>
      <c r="R8" s="6"/>
    </row>
    <row r="9" spans="1:18" ht="18" x14ac:dyDescent="0.2">
      <c r="A9" s="5"/>
      <c r="B9" s="43" t="s">
        <v>163</v>
      </c>
      <c r="C9" s="1265" t="str">
        <f>New_Technology</f>
        <v>Waste Heat Recovery (Heat Pump)</v>
      </c>
      <c r="D9" s="1266"/>
      <c r="E9" s="1266"/>
      <c r="F9" s="1266"/>
      <c r="G9" s="1266"/>
      <c r="H9" s="1267"/>
      <c r="I9" s="597"/>
      <c r="J9" s="77" t="s">
        <v>163</v>
      </c>
      <c r="K9" s="1265" t="str">
        <f>Commercial_Benchmark</f>
        <v>Evaporative Condenser</v>
      </c>
      <c r="L9" s="1266"/>
      <c r="M9" s="1266"/>
      <c r="N9" s="1266"/>
      <c r="O9" s="1267"/>
      <c r="P9" s="653"/>
      <c r="Q9" s="597"/>
      <c r="R9" s="6"/>
    </row>
    <row r="10" spans="1:18" ht="18" x14ac:dyDescent="0.2">
      <c r="A10" s="5"/>
      <c r="B10" s="43" t="s">
        <v>164</v>
      </c>
      <c r="C10" s="1265" t="str">
        <f>New_Technology_Apps</f>
        <v>Cooled Waste Water</v>
      </c>
      <c r="D10" s="1266"/>
      <c r="E10" s="1266"/>
      <c r="F10" s="1266"/>
      <c r="G10" s="1266"/>
      <c r="H10" s="1267"/>
      <c r="I10" s="597"/>
      <c r="J10" s="77" t="s">
        <v>164</v>
      </c>
      <c r="K10" s="1265" t="str">
        <f>Benchmark_Apps</f>
        <v>Cooled Waste Water</v>
      </c>
      <c r="L10" s="1266"/>
      <c r="M10" s="1266"/>
      <c r="N10" s="1266"/>
      <c r="O10" s="1267"/>
      <c r="P10" s="653"/>
      <c r="Q10" s="597"/>
      <c r="R10" s="6"/>
    </row>
    <row r="11" spans="1:18" ht="18" x14ac:dyDescent="0.2">
      <c r="A11" s="5"/>
      <c r="B11" s="43" t="s">
        <v>175</v>
      </c>
      <c r="C11" s="746">
        <f>Ref_Volume</f>
        <v>2</v>
      </c>
      <c r="D11" s="650" t="str">
        <f>Ref_Volume_Unit</f>
        <v>Million Gallons</v>
      </c>
      <c r="E11" s="651"/>
      <c r="F11" s="651"/>
      <c r="G11" s="651"/>
      <c r="H11" s="93"/>
      <c r="I11" s="597"/>
      <c r="J11" s="77" t="s">
        <v>175</v>
      </c>
      <c r="K11" s="744">
        <f>Ref_Volume_Benchmark</f>
        <v>2</v>
      </c>
      <c r="L11" s="650" t="str">
        <f>Ref_Volume_Unit</f>
        <v>Million Gallons</v>
      </c>
      <c r="M11" s="651"/>
      <c r="N11" s="651"/>
      <c r="O11" s="652"/>
      <c r="P11" s="653"/>
      <c r="Q11" s="597"/>
      <c r="R11" s="6"/>
    </row>
    <row r="12" spans="1:18" ht="18" x14ac:dyDescent="0.2">
      <c r="A12" s="5"/>
      <c r="B12" s="55"/>
      <c r="C12" s="21" t="s">
        <v>328</v>
      </c>
      <c r="D12" s="21" t="s">
        <v>167</v>
      </c>
      <c r="E12" s="45"/>
      <c r="F12" s="21"/>
      <c r="G12" s="21"/>
      <c r="H12" s="597"/>
      <c r="I12" s="597"/>
      <c r="K12" s="21" t="s">
        <v>328</v>
      </c>
      <c r="L12" s="21" t="s">
        <v>167</v>
      </c>
      <c r="M12" s="21"/>
      <c r="N12" s="21"/>
      <c r="O12" s="21"/>
      <c r="P12" s="21"/>
      <c r="Q12" s="597"/>
      <c r="R12" s="6"/>
    </row>
    <row r="13" spans="1:18" ht="18" x14ac:dyDescent="0.2">
      <c r="A13" s="5"/>
      <c r="B13" s="55"/>
      <c r="C13" s="21"/>
      <c r="D13" s="21"/>
      <c r="E13" s="45"/>
      <c r="F13" s="21"/>
      <c r="G13" s="21"/>
      <c r="H13" s="597"/>
      <c r="I13" s="597"/>
      <c r="J13" s="110"/>
      <c r="K13" s="21"/>
      <c r="L13" s="21"/>
      <c r="M13" s="45"/>
      <c r="N13" s="21"/>
      <c r="O13" s="21"/>
      <c r="P13" s="21"/>
      <c r="Q13" s="597"/>
      <c r="R13" s="6"/>
    </row>
    <row r="14" spans="1:18" ht="43.5" customHeight="1" x14ac:dyDescent="0.2">
      <c r="A14" s="5"/>
      <c r="B14" s="1188" t="s">
        <v>470</v>
      </c>
      <c r="C14" s="1189"/>
      <c r="D14" s="1189"/>
      <c r="E14" s="1189"/>
      <c r="F14" s="1189"/>
      <c r="G14" s="1189"/>
      <c r="H14" s="1189"/>
      <c r="I14" s="597"/>
      <c r="J14" s="1189" t="s">
        <v>471</v>
      </c>
      <c r="K14" s="1189"/>
      <c r="L14" s="1189"/>
      <c r="M14" s="1189"/>
      <c r="N14" s="1189"/>
      <c r="O14" s="1189"/>
      <c r="P14" s="1189"/>
      <c r="Q14" s="1189"/>
      <c r="R14" s="6"/>
    </row>
    <row r="15" spans="1:18" ht="42" x14ac:dyDescent="0.2">
      <c r="B15" s="47" t="s">
        <v>472</v>
      </c>
      <c r="C15" s="747">
        <f>C11*365</f>
        <v>730</v>
      </c>
      <c r="D15" s="61" t="str">
        <f>Ref_Volume_Unit</f>
        <v>Million Gallons</v>
      </c>
      <c r="E15" s="68" t="str">
        <f>IF(EndUse_Product&lt;&gt;""," of "&amp;EndUse_Product&amp;" per year","of (end-use product not yet defined) per year")</f>
        <v xml:space="preserve"> of Cooled Waste Water per year</v>
      </c>
      <c r="F15" s="41"/>
      <c r="G15" s="109"/>
      <c r="H15" s="45"/>
      <c r="I15" s="45"/>
      <c r="J15" s="58" t="s">
        <v>472</v>
      </c>
      <c r="K15" s="747">
        <f>K11*365</f>
        <v>730</v>
      </c>
      <c r="L15" s="61" t="str">
        <f>Ref_Volume_Unit</f>
        <v>Million Gallons</v>
      </c>
      <c r="M15" s="68" t="str">
        <f>IF(EndUse_Product&lt;&gt;""," of "&amp;EndUse_Product&amp;" per year","of (end-use product not yet defined) per year")</f>
        <v xml:space="preserve"> of Cooled Waste Water per year</v>
      </c>
      <c r="N15" s="41"/>
      <c r="O15" s="109"/>
      <c r="P15" s="109"/>
      <c r="Q15" s="45"/>
      <c r="R15" s="12"/>
    </row>
    <row r="16" spans="1:18" x14ac:dyDescent="0.2">
      <c r="B16" s="55"/>
      <c r="C16" s="22" t="s">
        <v>473</v>
      </c>
      <c r="D16" s="22" t="s">
        <v>167</v>
      </c>
      <c r="E16" s="44"/>
      <c r="F16" s="44"/>
      <c r="G16" s="45"/>
      <c r="H16" s="45"/>
      <c r="I16" s="45"/>
      <c r="J16" s="110"/>
      <c r="K16" s="22" t="s">
        <v>473</v>
      </c>
      <c r="L16" s="22" t="s">
        <v>167</v>
      </c>
      <c r="M16" s="44"/>
      <c r="N16" s="44"/>
      <c r="O16" s="45"/>
      <c r="P16" s="45"/>
      <c r="Q16" s="45"/>
      <c r="R16" s="12"/>
    </row>
    <row r="17" spans="2:18" x14ac:dyDescent="0.2">
      <c r="B17" s="55"/>
      <c r="C17" s="21"/>
      <c r="D17" s="21"/>
      <c r="E17" s="44"/>
      <c r="F17" s="44"/>
      <c r="G17" s="45"/>
      <c r="H17" s="45"/>
      <c r="I17" s="45"/>
      <c r="J17" s="110"/>
      <c r="K17" s="21"/>
      <c r="L17" s="21"/>
      <c r="M17" s="44"/>
      <c r="N17" s="44"/>
      <c r="O17" s="45"/>
      <c r="P17" s="45"/>
      <c r="Q17" s="45"/>
      <c r="R17" s="12"/>
    </row>
    <row r="18" spans="2:18" ht="72" customHeight="1" x14ac:dyDescent="0.2">
      <c r="B18" s="1188" t="s">
        <v>474</v>
      </c>
      <c r="C18" s="1189"/>
      <c r="D18" s="1189"/>
      <c r="E18" s="1189"/>
      <c r="F18" s="1189"/>
      <c r="G18" s="1189"/>
      <c r="H18" s="1189"/>
      <c r="I18" s="1189"/>
      <c r="J18" s="1189"/>
      <c r="K18" s="1189"/>
      <c r="L18" s="24"/>
      <c r="M18" s="24"/>
      <c r="N18" s="24"/>
      <c r="O18" s="24"/>
      <c r="P18" s="24"/>
      <c r="Q18" s="24"/>
      <c r="R18" s="12"/>
    </row>
    <row r="19" spans="2:18" x14ac:dyDescent="0.2">
      <c r="B19" s="94"/>
      <c r="C19" s="5"/>
      <c r="D19" s="17"/>
      <c r="E19" s="17"/>
      <c r="F19" s="17"/>
      <c r="G19" s="17"/>
      <c r="H19" s="17"/>
      <c r="I19" s="45"/>
      <c r="J19" s="111"/>
      <c r="K19" s="5"/>
      <c r="L19" s="17"/>
      <c r="M19" s="17"/>
      <c r="N19" s="17"/>
      <c r="O19" s="17"/>
      <c r="P19" s="17"/>
      <c r="Q19" s="17"/>
      <c r="R19" s="12"/>
    </row>
    <row r="20" spans="2:18" x14ac:dyDescent="0.2">
      <c r="B20" s="94" t="s">
        <v>475</v>
      </c>
      <c r="C20" s="17"/>
      <c r="D20" s="17"/>
      <c r="E20" s="17"/>
      <c r="F20" s="17"/>
      <c r="G20" s="17"/>
      <c r="H20" s="17"/>
      <c r="I20" s="45"/>
      <c r="J20" s="111" t="s">
        <v>476</v>
      </c>
      <c r="K20" s="17"/>
      <c r="L20" s="17"/>
      <c r="M20" s="17"/>
      <c r="N20" s="17"/>
      <c r="O20" s="17"/>
      <c r="P20" s="17"/>
      <c r="Q20" s="17"/>
      <c r="R20" s="12"/>
    </row>
    <row r="21" spans="2:18" ht="53" x14ac:dyDescent="0.2">
      <c r="B21" s="101" t="s">
        <v>477</v>
      </c>
      <c r="C21" s="101" t="s">
        <v>131</v>
      </c>
      <c r="D21" s="101" t="s">
        <v>478</v>
      </c>
      <c r="E21" s="209" t="s">
        <v>479</v>
      </c>
      <c r="F21" s="209" t="s">
        <v>480</v>
      </c>
      <c r="G21" s="209" t="s">
        <v>481</v>
      </c>
      <c r="H21" s="209" t="s">
        <v>482</v>
      </c>
      <c r="I21" s="45"/>
      <c r="J21" s="101" t="s">
        <v>477</v>
      </c>
      <c r="K21" s="101" t="s">
        <v>131</v>
      </c>
      <c r="L21" s="101" t="s">
        <v>478</v>
      </c>
      <c r="M21" s="209" t="s">
        <v>479</v>
      </c>
      <c r="N21" s="209" t="s">
        <v>480</v>
      </c>
      <c r="O21" s="209" t="s">
        <v>481</v>
      </c>
      <c r="P21" s="92" t="s">
        <v>483</v>
      </c>
      <c r="Q21" s="209" t="s">
        <v>482</v>
      </c>
      <c r="R21" s="12"/>
    </row>
    <row r="22" spans="2:18" ht="27" x14ac:dyDescent="0.2">
      <c r="B22" s="1331" t="s">
        <v>484</v>
      </c>
      <c r="C22" s="1331" t="s">
        <v>485</v>
      </c>
      <c r="D22" s="102" t="s">
        <v>486</v>
      </c>
      <c r="E22" s="703">
        <f>B67</f>
        <v>254305.59845559849</v>
      </c>
      <c r="F22" s="704">
        <v>10</v>
      </c>
      <c r="G22" s="705">
        <f>IF(E22&lt;&gt;"",E22/F22,"")</f>
        <v>25430.559845559848</v>
      </c>
      <c r="H22" s="706">
        <f>IF(E22&lt;&gt;"",IF(Facility_Production_NewTech&lt;&gt;"",G22*Ref_Volume/Facility_Production_NewTech,"No Facility Data"),"")</f>
        <v>69.672766700163962</v>
      </c>
      <c r="I22" s="45"/>
      <c r="J22" s="1331" t="s">
        <v>484</v>
      </c>
      <c r="K22" s="1331" t="s">
        <v>485</v>
      </c>
      <c r="L22" s="102" t="s">
        <v>487</v>
      </c>
      <c r="M22" s="703">
        <f>B61*4</f>
        <v>1000000</v>
      </c>
      <c r="N22" s="704">
        <v>25</v>
      </c>
      <c r="O22" s="705">
        <f>IF(M22&lt;&gt;"",M22/N22,"")</f>
        <v>40000</v>
      </c>
      <c r="P22" s="705">
        <f>IF(O22&lt;&gt;"", O22*(Facility_Production_NewTech/Facility_Production_Benchmark)*(Ref_Volume_Benchmark/Ref_Volume),"")</f>
        <v>40000</v>
      </c>
      <c r="Q22" s="706">
        <f>IF(N22&lt;&gt;"",IF(Facility_Production_Benchmark&lt;&gt;"",O22*Ref_Volume_Benchmark/Facility_Production_Benchmark,"No Facility Data"),"")</f>
        <v>109.58904109589041</v>
      </c>
      <c r="R22" s="12"/>
    </row>
    <row r="23" spans="2:18" x14ac:dyDescent="0.2">
      <c r="B23" s="1331"/>
      <c r="C23" s="1331"/>
      <c r="D23" s="102"/>
      <c r="E23" s="103"/>
      <c r="F23" s="104"/>
      <c r="G23" s="105" t="str">
        <f>IF(E23&lt;&gt;"",E23/F23,"")</f>
        <v/>
      </c>
      <c r="H23" s="251" t="str">
        <f>IF(E23&lt;&gt;"",IF(Facility_Production_NewTech&lt;&gt;"",G23*Ref_Volume/Facility_Production_NewTech,"No Facility Data"),"")</f>
        <v/>
      </c>
      <c r="I23" s="45"/>
      <c r="J23" s="1331"/>
      <c r="K23" s="1331"/>
      <c r="L23" s="102"/>
      <c r="M23" s="103"/>
      <c r="N23" s="104"/>
      <c r="O23" s="105" t="str">
        <f>IF(M23&lt;&gt;"",M23/N23,"")</f>
        <v/>
      </c>
      <c r="P23" s="105" t="str">
        <f>IF(O23&lt;&gt;"", O23*(Facility_Production_NewTech/Facility_Production_Benchmark)*(Ref_Volume_Benchmark/Ref_Volume),"")</f>
        <v/>
      </c>
      <c r="Q23" s="251" t="str">
        <f>IF(N23&lt;&gt;"",IF(Facility_Production_Benchmark&lt;&gt;"",O23*Ref_Volume_Benchmark/Facility_Production_Benchmark,"No Facility Data"),"")</f>
        <v/>
      </c>
      <c r="R23" s="12"/>
    </row>
    <row r="24" spans="2:18" x14ac:dyDescent="0.2">
      <c r="B24" s="1331"/>
      <c r="C24" s="1331"/>
      <c r="D24" s="102"/>
      <c r="E24" s="103"/>
      <c r="F24" s="104"/>
      <c r="G24" s="105" t="str">
        <f>IF(E24&lt;&gt;"",E24/F24,"")</f>
        <v/>
      </c>
      <c r="H24" s="251" t="str">
        <f>IF(E24&lt;&gt;"",IF(Facility_Production_NewTech&lt;&gt;"",G24*Ref_Volume/Facility_Production_NewTech,"No Facility Data"),"")</f>
        <v/>
      </c>
      <c r="I24" s="45"/>
      <c r="J24" s="1331"/>
      <c r="K24" s="1331"/>
      <c r="L24" s="102"/>
      <c r="M24" s="103"/>
      <c r="N24" s="104"/>
      <c r="O24" s="105" t="str">
        <f>IF(M24&lt;&gt;"",M24/N24,"")</f>
        <v/>
      </c>
      <c r="P24" s="105" t="str">
        <f>IF(O24&lt;&gt;"", O24*(Facility_Production_NewTech/Facility_Production_Benchmark)*(Ref_Volume_Benchmark/Ref_Volume),"")</f>
        <v/>
      </c>
      <c r="Q24" s="251" t="str">
        <f>IF(N24&lt;&gt;"",IF(Facility_Production_Benchmark&lt;&gt;"",O24*Ref_Volume_Benchmark/Facility_Production_Benchmark,"No Facility Data"),"")</f>
        <v/>
      </c>
      <c r="R24" s="12"/>
    </row>
    <row r="25" spans="2:18" x14ac:dyDescent="0.2">
      <c r="B25" s="1332"/>
      <c r="C25" s="1332"/>
      <c r="D25" s="102"/>
      <c r="E25" s="103"/>
      <c r="F25" s="104"/>
      <c r="G25" s="105" t="str">
        <f>IF(E25&lt;&gt;"",E25/F25,"")</f>
        <v/>
      </c>
      <c r="H25" s="251" t="str">
        <f>IF(E25&lt;&gt;"",IF(Facility_Production_NewTech&lt;&gt;"",G25*Ref_Volume/Facility_Production_NewTech,"No Facility Data"),"")</f>
        <v/>
      </c>
      <c r="I25" s="45"/>
      <c r="J25" s="1332"/>
      <c r="K25" s="1332"/>
      <c r="L25" s="102"/>
      <c r="M25" s="103"/>
      <c r="N25" s="104"/>
      <c r="O25" s="105" t="str">
        <f>IF(M25&lt;&gt;"",M25/N25,"")</f>
        <v/>
      </c>
      <c r="P25" s="105" t="str">
        <f>IF(O25&lt;&gt;"", O25*(Facility_Production_NewTech/Facility_Production_Benchmark)*(Ref_Volume_Benchmark/Ref_Volume),"")</f>
        <v/>
      </c>
      <c r="Q25" s="251" t="str">
        <f>IF(N25&lt;&gt;"",IF(Facility_Production_Benchmark&lt;&gt;"",O25*Ref_Volume_Benchmark/Facility_Production_Benchmark,"No Facility Data"),"")</f>
        <v/>
      </c>
      <c r="R25" s="12"/>
    </row>
    <row r="26" spans="2:18" x14ac:dyDescent="0.2">
      <c r="B26" s="660"/>
      <c r="C26" s="158"/>
      <c r="D26" s="158"/>
      <c r="E26" s="159"/>
      <c r="F26" s="160" t="s">
        <v>488</v>
      </c>
      <c r="G26" s="252">
        <f>IF(SUM(G22:G25)&gt;0,SUM(G22:G25),"")</f>
        <v>25430.559845559848</v>
      </c>
      <c r="H26" s="252">
        <f>IF(SUM(H22:H25)&gt;0,SUM(H22:H25),"")</f>
        <v>69.672766700163962</v>
      </c>
      <c r="I26" s="45"/>
      <c r="J26" s="660"/>
      <c r="K26" s="158"/>
      <c r="L26" s="158"/>
      <c r="M26" s="159"/>
      <c r="N26" s="160" t="s">
        <v>488</v>
      </c>
      <c r="O26" s="108">
        <f>IF(SUM(O22:O25)&gt;0,SUM(O22:O25),"")</f>
        <v>40000</v>
      </c>
      <c r="P26" s="252">
        <f>IF(SUM(P22:P25)&gt;0,SUM(P22:P25),"")</f>
        <v>40000</v>
      </c>
      <c r="Q26" s="108">
        <f>IF(SUM(Q22:Q25)&gt;0,SUM(Q22:Q25),"")</f>
        <v>109.58904109589041</v>
      </c>
      <c r="R26" s="12"/>
    </row>
    <row r="27" spans="2:18" ht="14.75" customHeight="1" x14ac:dyDescent="0.2">
      <c r="B27" s="1330" t="s">
        <v>489</v>
      </c>
      <c r="C27" s="1330" t="s">
        <v>490</v>
      </c>
      <c r="D27" s="102" t="s">
        <v>491</v>
      </c>
      <c r="E27" s="103">
        <v>50000</v>
      </c>
      <c r="F27" s="104">
        <v>35</v>
      </c>
      <c r="G27" s="105">
        <f>IF(E27&lt;&gt;"",E27/F27,"")</f>
        <v>1428.5714285714287</v>
      </c>
      <c r="H27" s="251">
        <f>IF(E27&lt;&gt;"",IF(Facility_Production_NewTech&lt;&gt;"",G27*Ref_Volume/Facility_Production_NewTech,"No Facility Data"),"")</f>
        <v>3.9138943248532292</v>
      </c>
      <c r="I27" s="45"/>
      <c r="J27" s="1330" t="s">
        <v>492</v>
      </c>
      <c r="K27" s="1330" t="s">
        <v>493</v>
      </c>
      <c r="L27" s="102" t="s">
        <v>491</v>
      </c>
      <c r="M27" s="103">
        <v>50000</v>
      </c>
      <c r="N27" s="104">
        <v>35</v>
      </c>
      <c r="O27" s="105">
        <f>IF(M27&lt;&gt;"",M27/N27,"")</f>
        <v>1428.5714285714287</v>
      </c>
      <c r="P27" s="105">
        <f>IF(O27&lt;&gt;"", O27*(Facility_Production_NewTech/Facility_Production_Benchmark)*(Ref_Volume_Benchmark/Ref_Volume),"")</f>
        <v>1428.5714285714287</v>
      </c>
      <c r="Q27" s="251">
        <f>IF(N27&lt;&gt;"",IF(Facility_Production_Benchmark&lt;&gt;"",O27*Ref_Volume_Benchmark/Facility_Production_Benchmark,"No Facility Data"),"")</f>
        <v>3.9138943248532292</v>
      </c>
      <c r="R27" s="12"/>
    </row>
    <row r="28" spans="2:18" x14ac:dyDescent="0.2">
      <c r="B28" s="1331"/>
      <c r="C28" s="1331"/>
      <c r="D28" s="102"/>
      <c r="E28" s="103"/>
      <c r="F28" s="104"/>
      <c r="G28" s="105" t="str">
        <f>IF(E28&lt;&gt;"",E28/F28,"")</f>
        <v/>
      </c>
      <c r="H28" s="251" t="str">
        <f>IF(E28&lt;&gt;"",IF(Facility_Production_NewTech&lt;&gt;"",G28*Ref_Volume/Facility_Production_NewTech,"No Facility Data"),"")</f>
        <v/>
      </c>
      <c r="I28" s="45"/>
      <c r="J28" s="1331"/>
      <c r="K28" s="1331"/>
      <c r="L28" s="102"/>
      <c r="M28" s="103"/>
      <c r="N28" s="104"/>
      <c r="O28" s="105" t="str">
        <f>IF(M28&lt;&gt;"",M28/N28,"")</f>
        <v/>
      </c>
      <c r="P28" s="105" t="str">
        <f>IF(O28&lt;&gt;"", O28*(Facility_Production_NewTech/Facility_Production_Benchmark)*(Ref_Volume_Benchmark/Ref_Volume),"")</f>
        <v/>
      </c>
      <c r="Q28" s="251" t="str">
        <f>IF(N28&lt;&gt;"",IF(Facility_Production_Benchmark&lt;&gt;"",O28*Ref_Volume_Benchmark/Facility_Production_Benchmark,"No Facility Data"),"")</f>
        <v/>
      </c>
      <c r="R28" s="12"/>
    </row>
    <row r="29" spans="2:18" x14ac:dyDescent="0.2">
      <c r="B29" s="1331"/>
      <c r="C29" s="1331"/>
      <c r="D29" s="102"/>
      <c r="E29" s="103"/>
      <c r="F29" s="104"/>
      <c r="G29" s="105" t="str">
        <f>IF(E29&lt;&gt;"",E29/F29,"")</f>
        <v/>
      </c>
      <c r="H29" s="251" t="str">
        <f>IF(E29&lt;&gt;"",IF(Facility_Production_NewTech&lt;&gt;"",G29*Ref_Volume/Facility_Production_NewTech,"No Facility Data"),"")</f>
        <v/>
      </c>
      <c r="I29" s="45"/>
      <c r="J29" s="1331"/>
      <c r="K29" s="1331"/>
      <c r="L29" s="102"/>
      <c r="M29" s="103"/>
      <c r="N29" s="104"/>
      <c r="O29" s="105" t="str">
        <f>IF(M29&lt;&gt;"",M29/N29,"")</f>
        <v/>
      </c>
      <c r="P29" s="105" t="str">
        <f>IF(O29&lt;&gt;"", O29*(Facility_Production_NewTech/Facility_Production_Benchmark)*(Ref_Volume_Benchmark/Ref_Volume),"")</f>
        <v/>
      </c>
      <c r="Q29" s="251" t="str">
        <f>IF(N29&lt;&gt;"",IF(Facility_Production_Benchmark&lt;&gt;"",O29*Ref_Volume_Benchmark/Facility_Production_Benchmark,"No Facility Data"),"")</f>
        <v/>
      </c>
      <c r="R29" s="12"/>
    </row>
    <row r="30" spans="2:18" x14ac:dyDescent="0.2">
      <c r="B30" s="1332"/>
      <c r="C30" s="1332"/>
      <c r="D30" s="102"/>
      <c r="E30" s="103"/>
      <c r="F30" s="104"/>
      <c r="G30" s="105" t="str">
        <f>IF(E30&lt;&gt;"",E30/F30,"")</f>
        <v/>
      </c>
      <c r="H30" s="251" t="str">
        <f>IF(E30&lt;&gt;"",IF(Facility_Production_NewTech&lt;&gt;"",G30*Ref_Volume/Facility_Production_NewTech,"No Facility Data"),"")</f>
        <v/>
      </c>
      <c r="I30" s="45"/>
      <c r="J30" s="1332"/>
      <c r="K30" s="1332"/>
      <c r="L30" s="102"/>
      <c r="M30" s="103"/>
      <c r="N30" s="104"/>
      <c r="O30" s="105" t="str">
        <f>IF(M30&lt;&gt;"",M30/N30,"")</f>
        <v/>
      </c>
      <c r="P30" s="105" t="str">
        <f>IF(O30&lt;&gt;"", O30*(Facility_Production_NewTech/Facility_Production_Benchmark)*(Ref_Volume_Benchmark/Ref_Volume),"")</f>
        <v/>
      </c>
      <c r="Q30" s="251" t="str">
        <f>IF(N30&lt;&gt;"",IF(Facility_Production_Benchmark&lt;&gt;"",O30*Ref_Volume_Benchmark/Facility_Production_Benchmark,"No Facility Data"),"")</f>
        <v/>
      </c>
      <c r="R30" s="12"/>
    </row>
    <row r="31" spans="2:18" x14ac:dyDescent="0.2">
      <c r="B31" s="660"/>
      <c r="C31" s="158"/>
      <c r="D31" s="158"/>
      <c r="E31" s="159"/>
      <c r="F31" s="160" t="s">
        <v>494</v>
      </c>
      <c r="G31" s="252">
        <f>IF(SUM(G27:G30)&gt;0,SUM(G27:G30),"")</f>
        <v>1428.5714285714287</v>
      </c>
      <c r="H31" s="252">
        <f>IF(SUM(H27:H30)&gt;0,SUM(H27:H30),"")</f>
        <v>3.9138943248532292</v>
      </c>
      <c r="I31" s="45"/>
      <c r="J31" s="660"/>
      <c r="K31" s="158"/>
      <c r="L31" s="158"/>
      <c r="M31" s="159"/>
      <c r="N31" s="160" t="s">
        <v>494</v>
      </c>
      <c r="O31" s="108">
        <f>IF(SUM(O27:O30)&gt;0,SUM(O27:O30),"")</f>
        <v>1428.5714285714287</v>
      </c>
      <c r="P31" s="252">
        <f t="shared" ref="P31" si="0">IF(SUM(P27:P30)&gt;0,SUM(P27:P30),"")</f>
        <v>1428.5714285714287</v>
      </c>
      <c r="Q31" s="108">
        <f>IF(SUM(Q27:Q30)&gt;0,SUM(Q27:Q30),"")</f>
        <v>3.9138943248532292</v>
      </c>
      <c r="R31" s="12"/>
    </row>
    <row r="32" spans="2:18" ht="14.75" customHeight="1" x14ac:dyDescent="0.2">
      <c r="B32" s="1330" t="s">
        <v>495</v>
      </c>
      <c r="C32" s="1330" t="s">
        <v>496</v>
      </c>
      <c r="D32" s="102" t="s">
        <v>497</v>
      </c>
      <c r="E32" s="103">
        <v>10000</v>
      </c>
      <c r="F32" s="104">
        <v>15</v>
      </c>
      <c r="G32" s="105">
        <f>IF(E32&lt;&gt;"",E32/F32,"")</f>
        <v>666.66666666666663</v>
      </c>
      <c r="H32" s="251">
        <f>IF(E32&lt;&gt;"",IF(Facility_Production_NewTech&lt;&gt;"",G32*Ref_Volume/Facility_Production_NewTech,"No Facility Data"),"")</f>
        <v>1.8264840182648401</v>
      </c>
      <c r="I32" s="45"/>
      <c r="J32" s="1330" t="s">
        <v>495</v>
      </c>
      <c r="K32" s="1330" t="s">
        <v>496</v>
      </c>
      <c r="L32" s="102" t="s">
        <v>498</v>
      </c>
      <c r="M32" s="103">
        <v>10000</v>
      </c>
      <c r="N32" s="104">
        <v>25</v>
      </c>
      <c r="O32" s="105">
        <f>IF(M32&lt;&gt;"",M32/N32,"")</f>
        <v>400</v>
      </c>
      <c r="P32" s="105">
        <f>IF(O32&lt;&gt;"", O32*(Facility_Production_NewTech/Facility_Production_Benchmark)*(Ref_Volume_Benchmark/Ref_Volume),"")</f>
        <v>400</v>
      </c>
      <c r="Q32" s="251">
        <f>IF(N32&lt;&gt;"",IF(Facility_Production_Benchmark&lt;&gt;"",O32*Ref_Volume_Benchmark/Facility_Production_Benchmark,"No Facility Data"),"")</f>
        <v>1.095890410958904</v>
      </c>
      <c r="R32" s="12"/>
    </row>
    <row r="33" spans="2:18" x14ac:dyDescent="0.2">
      <c r="B33" s="1331"/>
      <c r="C33" s="1331"/>
      <c r="D33" s="102" t="s">
        <v>499</v>
      </c>
      <c r="E33" s="103">
        <f>E22*0.5</f>
        <v>127152.79922779925</v>
      </c>
      <c r="F33" s="104">
        <v>15</v>
      </c>
      <c r="G33" s="105">
        <f>IF(E33&lt;&gt;"",E33/F33,"")</f>
        <v>8476.8532818532822</v>
      </c>
      <c r="H33" s="251">
        <f>IF(E33&lt;&gt;"",IF(Facility_Production_NewTech&lt;&gt;"",G33*Ref_Volume/Facility_Production_NewTech,"No Facility Data"),"")</f>
        <v>23.224255566721322</v>
      </c>
      <c r="I33" s="45"/>
      <c r="J33" s="1331"/>
      <c r="K33" s="1331"/>
      <c r="L33" s="102" t="s">
        <v>499</v>
      </c>
      <c r="M33" s="103">
        <f>M22*0.5</f>
        <v>500000</v>
      </c>
      <c r="N33" s="104">
        <v>25</v>
      </c>
      <c r="O33" s="105">
        <f>IF(M33&lt;&gt;"",M33/N33,"")</f>
        <v>20000</v>
      </c>
      <c r="P33" s="105">
        <f>IF(O33&lt;&gt;"", O33*(Facility_Production_NewTech/Facility_Production_Benchmark)*(Ref_Volume_Benchmark/Ref_Volume),"")</f>
        <v>20000</v>
      </c>
      <c r="Q33" s="251">
        <f>IF(N33&lt;&gt;"",IF(Facility_Production_Benchmark&lt;&gt;"",O33*Ref_Volume_Benchmark/Facility_Production_Benchmark,"No Facility Data"),"")</f>
        <v>54.794520547945204</v>
      </c>
      <c r="R33" s="12"/>
    </row>
    <row r="34" spans="2:18" x14ac:dyDescent="0.2">
      <c r="B34" s="1331"/>
      <c r="C34" s="1331"/>
      <c r="D34" s="102"/>
      <c r="E34" s="103"/>
      <c r="F34" s="104"/>
      <c r="G34" s="105" t="str">
        <f>IF(E34&lt;&gt;"",E34/F34,"")</f>
        <v/>
      </c>
      <c r="H34" s="251" t="str">
        <f>IF(E34&lt;&gt;"",IF(Facility_Production_NewTech&lt;&gt;"",G34*Ref_Volume/Facility_Production_NewTech,"No Facility Data"),"")</f>
        <v/>
      </c>
      <c r="I34" s="45"/>
      <c r="J34" s="1331"/>
      <c r="K34" s="1331"/>
      <c r="L34" s="102"/>
      <c r="M34" s="103"/>
      <c r="N34" s="104"/>
      <c r="O34" s="105" t="str">
        <f>IF(M34&lt;&gt;"",M34/N34,"")</f>
        <v/>
      </c>
      <c r="P34" s="105" t="str">
        <f>IF(O34&lt;&gt;"", O34*(Facility_Production_NewTech/Facility_Production_Benchmark)*(Ref_Volume_Benchmark/Ref_Volume),"")</f>
        <v/>
      </c>
      <c r="Q34" s="251" t="str">
        <f>IF(N34&lt;&gt;"",IF(Facility_Production_Benchmark&lt;&gt;"",O34*Ref_Volume_Benchmark/Facility_Production_Benchmark,"No Facility Data"),"")</f>
        <v/>
      </c>
      <c r="R34" s="12"/>
    </row>
    <row r="35" spans="2:18" x14ac:dyDescent="0.2">
      <c r="B35" s="1332"/>
      <c r="C35" s="1332"/>
      <c r="D35" s="102"/>
      <c r="E35" s="103"/>
      <c r="F35" s="104"/>
      <c r="G35" s="105" t="str">
        <f>IF(E35&lt;&gt;"",E35/F35,"")</f>
        <v/>
      </c>
      <c r="H35" s="251" t="str">
        <f>IF(E35&lt;&gt;"",IF(Facility_Production_NewTech&lt;&gt;"",G35*Ref_Volume/Facility_Production_NewTech,"No Facility Data"),"")</f>
        <v/>
      </c>
      <c r="I35" s="45"/>
      <c r="J35" s="1332"/>
      <c r="K35" s="1332"/>
      <c r="L35" s="102"/>
      <c r="M35" s="103"/>
      <c r="N35" s="104"/>
      <c r="O35" s="105" t="str">
        <f>IF(M35&lt;&gt;"",M35/N35,"")</f>
        <v/>
      </c>
      <c r="P35" s="105" t="str">
        <f>IF(O35&lt;&gt;"", O35*(Facility_Production_NewTech/Facility_Production_Benchmark)*(Ref_Volume_Benchmark/Ref_Volume),"")</f>
        <v/>
      </c>
      <c r="Q35" s="251" t="str">
        <f>IF(N35&lt;&gt;"",IF(Facility_Production_Benchmark&lt;&gt;"",O35*Ref_Volume_Benchmark/Facility_Production_Benchmark,"No Facility Data"),"")</f>
        <v/>
      </c>
      <c r="R35" s="12"/>
    </row>
    <row r="36" spans="2:18" x14ac:dyDescent="0.2">
      <c r="B36" s="660"/>
      <c r="C36" s="158"/>
      <c r="D36" s="158"/>
      <c r="E36" s="159"/>
      <c r="F36" s="160" t="s">
        <v>500</v>
      </c>
      <c r="G36" s="252">
        <f>IF(SUM(G32:G35)&gt;0,SUM(G32:G35),"")</f>
        <v>9143.5199485199482</v>
      </c>
      <c r="H36" s="252">
        <f>IF(SUM(H32:H35)&gt;0,SUM(H32:H35),"")</f>
        <v>25.050739584986161</v>
      </c>
      <c r="I36" s="45"/>
      <c r="J36" s="660"/>
      <c r="K36" s="158"/>
      <c r="L36" s="158"/>
      <c r="M36" s="159"/>
      <c r="N36" s="160" t="s">
        <v>500</v>
      </c>
      <c r="O36" s="108">
        <f>IF(SUM(O32:O35)&gt;0,SUM(O32:O35),"")</f>
        <v>20400</v>
      </c>
      <c r="P36" s="252">
        <f t="shared" ref="P36" si="1">IF(SUM(P32:P35)&gt;0,SUM(P32:P35),"")</f>
        <v>20400</v>
      </c>
      <c r="Q36" s="108">
        <f>IF(SUM(Q32:Q35)&gt;0,SUM(Q32:Q35),"")</f>
        <v>55.890410958904106</v>
      </c>
      <c r="R36" s="12"/>
    </row>
    <row r="37" spans="2:18" ht="14.75" customHeight="1" x14ac:dyDescent="0.2">
      <c r="B37" s="1327" t="s">
        <v>501</v>
      </c>
      <c r="C37" s="1327" t="s">
        <v>502</v>
      </c>
      <c r="D37" s="106"/>
      <c r="E37" s="103"/>
      <c r="F37" s="104"/>
      <c r="G37" s="105" t="str">
        <f>IF(E37&lt;&gt;"",E37/F37,"")</f>
        <v/>
      </c>
      <c r="H37" s="251" t="str">
        <f>IF(E37&lt;&gt;"",IF(Facility_Production_NewTech&lt;&gt;"",G37*Ref_Volume/Facility_Production_NewTech,"No Facility Data"),"")</f>
        <v/>
      </c>
      <c r="I37" s="45"/>
      <c r="J37" s="1327" t="s">
        <v>501</v>
      </c>
      <c r="K37" s="1327" t="s">
        <v>503</v>
      </c>
      <c r="L37" s="106"/>
      <c r="M37" s="103"/>
      <c r="N37" s="104"/>
      <c r="O37" s="105" t="str">
        <f>IF(M37&lt;&gt;"",M37/N37,"")</f>
        <v/>
      </c>
      <c r="P37" s="105" t="str">
        <f>IF(O37&lt;&gt;"", O37*(Facility_Production_NewTech/Facility_Production_Benchmark)*(Ref_Volume_Benchmark/Ref_Volume),"")</f>
        <v/>
      </c>
      <c r="Q37" s="251" t="str">
        <f>IF(N37&lt;&gt;"",IF(Facility_Production_Benchmark&lt;&gt;"",O37*Ref_Volume_Benchmark/Facility_Production_Benchmark,"No Facility Data"),"")</f>
        <v/>
      </c>
      <c r="R37" s="12"/>
    </row>
    <row r="38" spans="2:18" x14ac:dyDescent="0.2">
      <c r="B38" s="1328"/>
      <c r="C38" s="1328"/>
      <c r="D38" s="106"/>
      <c r="E38" s="103"/>
      <c r="F38" s="104"/>
      <c r="G38" s="105" t="str">
        <f>IF(E38&lt;&gt;"",E38/F38,"")</f>
        <v/>
      </c>
      <c r="H38" s="251" t="str">
        <f>IF(E38&lt;&gt;"",IF(Facility_Production_NewTech&lt;&gt;"",G38*Ref_Volume/Facility_Production_NewTech,"No Facility Data"),"")</f>
        <v/>
      </c>
      <c r="I38" s="45"/>
      <c r="J38" s="1328"/>
      <c r="K38" s="1328"/>
      <c r="L38" s="106"/>
      <c r="M38" s="103"/>
      <c r="N38" s="104"/>
      <c r="O38" s="105" t="str">
        <f>IF(M38&lt;&gt;"",M38/N38,"")</f>
        <v/>
      </c>
      <c r="P38" s="105" t="str">
        <f>IF(O38&lt;&gt;"", O38*(Facility_Production_NewTech/Facility_Production_Benchmark)*(Ref_Volume_Benchmark/Ref_Volume),"")</f>
        <v/>
      </c>
      <c r="Q38" s="251" t="str">
        <f>IF(N38&lt;&gt;"",IF(Facility_Production_Benchmark&lt;&gt;"",O38*Ref_Volume_Benchmark/Facility_Production_Benchmark,"No Facility Data"),"")</f>
        <v/>
      </c>
      <c r="R38" s="12"/>
    </row>
    <row r="39" spans="2:18" x14ac:dyDescent="0.2">
      <c r="B39" s="1328"/>
      <c r="C39" s="1328"/>
      <c r="D39" s="106"/>
      <c r="E39" s="103"/>
      <c r="F39" s="104"/>
      <c r="G39" s="105" t="str">
        <f>IF(E39&lt;&gt;"",E39/F39,"")</f>
        <v/>
      </c>
      <c r="H39" s="251" t="str">
        <f>IF(E39&lt;&gt;"",IF(Facility_Production_NewTech&lt;&gt;"",G39*Ref_Volume/Facility_Production_NewTech,"No Facility Data"),"")</f>
        <v/>
      </c>
      <c r="I39" s="45"/>
      <c r="J39" s="1328"/>
      <c r="K39" s="1328"/>
      <c r="L39" s="106"/>
      <c r="M39" s="103"/>
      <c r="N39" s="104"/>
      <c r="O39" s="105" t="str">
        <f>IF(M39&lt;&gt;"",M39/N39,"")</f>
        <v/>
      </c>
      <c r="P39" s="105" t="str">
        <f>IF(O39&lt;&gt;"", O39*(Facility_Production_NewTech/Facility_Production_Benchmark)*(Ref_Volume_Benchmark/Ref_Volume),"")</f>
        <v/>
      </c>
      <c r="Q39" s="251" t="str">
        <f>IF(N39&lt;&gt;"",IF(Facility_Production_Benchmark&lt;&gt;"",O39*Ref_Volume_Benchmark/Facility_Production_Benchmark,"No Facility Data"),"")</f>
        <v/>
      </c>
      <c r="R39" s="12"/>
    </row>
    <row r="40" spans="2:18" x14ac:dyDescent="0.2">
      <c r="B40" s="1329"/>
      <c r="C40" s="1329"/>
      <c r="D40" s="106"/>
      <c r="E40" s="103"/>
      <c r="F40" s="104"/>
      <c r="G40" s="105" t="str">
        <f>IF(E40&lt;&gt;"",E40/F40,"")</f>
        <v/>
      </c>
      <c r="H40" s="251" t="str">
        <f>IF(E40&lt;&gt;"",IF(Facility_Production_NewTech&lt;&gt;"",G40*Ref_Volume/Facility_Production_NewTech,"No Facility Data"),"")</f>
        <v/>
      </c>
      <c r="I40" s="45"/>
      <c r="J40" s="1329"/>
      <c r="K40" s="1329"/>
      <c r="L40" s="106"/>
      <c r="M40" s="103"/>
      <c r="N40" s="104"/>
      <c r="O40" s="105" t="str">
        <f>IF(M40&lt;&gt;"",M40/N40,"")</f>
        <v/>
      </c>
      <c r="P40" s="105" t="str">
        <f>IF(O40&lt;&gt;"", O40*(Facility_Production_NewTech/Facility_Production_Benchmark)*(Ref_Volume_Benchmark/Ref_Volume),"")</f>
        <v/>
      </c>
      <c r="Q40" s="251" t="str">
        <f>IF(N40&lt;&gt;"",IF(Facility_Production_Benchmark&lt;&gt;"",O40*Ref_Volume_Benchmark/Facility_Production_Benchmark,"No Facility Data"),"")</f>
        <v/>
      </c>
      <c r="R40" s="12"/>
    </row>
    <row r="41" spans="2:18" x14ac:dyDescent="0.2">
      <c r="B41" s="650"/>
      <c r="C41" s="203"/>
      <c r="D41" s="203"/>
      <c r="E41" s="204"/>
      <c r="F41" s="205" t="s">
        <v>504</v>
      </c>
      <c r="G41" s="252" t="str">
        <f>IF(SUM(G37:G40)&gt;0,SUM(G37:G40),"")</f>
        <v/>
      </c>
      <c r="H41" s="252" t="str">
        <f>IF(SUM(H37:H40)&gt;0,SUM(H37:H40),"")</f>
        <v/>
      </c>
      <c r="I41" s="45"/>
      <c r="J41" s="650"/>
      <c r="K41" s="203"/>
      <c r="L41" s="203"/>
      <c r="M41" s="204"/>
      <c r="N41" s="205" t="s">
        <v>504</v>
      </c>
      <c r="O41" s="108" t="str">
        <f>IF(SUM(O37:O40)&gt;0,SUM(O37:O40),"")</f>
        <v/>
      </c>
      <c r="P41" s="252" t="str">
        <f>IF(SUM(P37:P40)&gt;0,SUM(P37:P40),"")</f>
        <v/>
      </c>
      <c r="Q41" s="108" t="str">
        <f>IF(SUM(Q37:Q40)&gt;0,SUM(Q37:Q40),"")</f>
        <v/>
      </c>
      <c r="R41" s="12"/>
    </row>
    <row r="42" spans="2:18" x14ac:dyDescent="0.2">
      <c r="B42" s="660"/>
      <c r="C42" s="158"/>
      <c r="D42" s="158"/>
      <c r="E42" s="159"/>
      <c r="F42" s="160" t="s">
        <v>505</v>
      </c>
      <c r="G42" s="252">
        <f>SUM(AnnualProcessCapEx_NewTech,AnnualNonProcessCapEx_NewTech,AnnualConstructionCapEx_NewTech,AnnualOtherCapEx_NewTech)</f>
        <v>36002.651222651228</v>
      </c>
      <c r="H42" s="108">
        <f>SUM(RefProcessCapEx_NewTech,RefNonProcessCapEx_NewTech,RefConstructionCapEx_NewTech,RefOtherCapEx_NewTech)</f>
        <v>98.637400610003354</v>
      </c>
      <c r="I42" s="45"/>
      <c r="J42" s="653"/>
      <c r="K42" s="158"/>
      <c r="L42" s="158"/>
      <c r="M42" s="159"/>
      <c r="N42" s="160" t="s">
        <v>505</v>
      </c>
      <c r="O42" s="108">
        <f>SUM(AnnualProcessCapEx_Benchmark,AnnualNonProcessCapEx_Benchmark,AnnualConstructionCapEx_Benchmark,AnnualOtherCapEx_Benchmark)</f>
        <v>61828.571428571428</v>
      </c>
      <c r="P42" s="252">
        <f>SUM(ScaledProcessCapEx_Benchmark,ScaledNonProcessCapEx_Benchmark,ScaledConstructionCapEx_Benchmark,ScaledOtherCapEx_Benchmark)</f>
        <v>61828.571428571428</v>
      </c>
      <c r="Q42" s="108">
        <f>SUM(RefProcessCapEx_Benchmark,RefNonProcessCapEx_Benchmark,RefConstructionCapEx_Benchmark,RefOtherCapEx_Benchmark)</f>
        <v>169.39334637964774</v>
      </c>
      <c r="R42" s="12"/>
    </row>
    <row r="43" spans="2:18" x14ac:dyDescent="0.2">
      <c r="B43" s="660"/>
      <c r="C43" s="158"/>
      <c r="D43" s="158"/>
      <c r="E43" s="159"/>
      <c r="F43" s="160" t="s">
        <v>506</v>
      </c>
      <c r="G43" s="637">
        <v>0.05</v>
      </c>
      <c r="H43" s="638">
        <f>G43</f>
        <v>0.05</v>
      </c>
      <c r="I43" s="45"/>
      <c r="J43" s="653"/>
      <c r="K43" s="158"/>
      <c r="L43" s="158"/>
      <c r="M43" s="159"/>
      <c r="N43" s="160" t="s">
        <v>506</v>
      </c>
      <c r="O43" s="637">
        <v>0.05</v>
      </c>
      <c r="P43" s="638">
        <f>O43</f>
        <v>0.05</v>
      </c>
      <c r="Q43" s="677">
        <f>EquipMaintenanceRate_Benchmark</f>
        <v>0.05</v>
      </c>
      <c r="R43" s="12"/>
    </row>
    <row r="44" spans="2:18" x14ac:dyDescent="0.2">
      <c r="B44" s="660"/>
      <c r="C44" s="158"/>
      <c r="D44" s="158"/>
      <c r="E44" s="159"/>
      <c r="F44" s="160" t="s">
        <v>507</v>
      </c>
      <c r="G44" s="252">
        <f>AnnualCapEx_NewTech*(1+G43)</f>
        <v>37802.783783783794</v>
      </c>
      <c r="H44" s="108">
        <f>RefCapEx_NewTech*(1+H43)</f>
        <v>103.56927064050353</v>
      </c>
      <c r="I44" s="45"/>
      <c r="J44" s="653"/>
      <c r="K44" s="158"/>
      <c r="L44" s="158"/>
      <c r="M44" s="159"/>
      <c r="N44" s="160" t="s">
        <v>507</v>
      </c>
      <c r="O44" s="252">
        <f>AnnualCapEx_Benchmark*(1+O43)</f>
        <v>64920</v>
      </c>
      <c r="P44" s="252">
        <f>ScaledCapEx_Benchmark*(1+P43)</f>
        <v>64920</v>
      </c>
      <c r="Q44" s="251">
        <f>RefCapEx_Benchmark*(1+Q43)</f>
        <v>177.86301369863014</v>
      </c>
      <c r="R44" s="12"/>
    </row>
    <row r="45" spans="2:18" ht="12" customHeight="1" x14ac:dyDescent="0.2">
      <c r="B45" s="84"/>
      <c r="C45" s="45"/>
      <c r="D45" s="45"/>
      <c r="E45" s="45"/>
      <c r="F45" s="45"/>
      <c r="G45" s="113" t="s">
        <v>508</v>
      </c>
      <c r="H45" s="113" t="s">
        <v>508</v>
      </c>
      <c r="I45" s="45"/>
      <c r="J45" s="45"/>
      <c r="K45" s="45"/>
      <c r="L45" s="45"/>
      <c r="M45" s="45"/>
      <c r="N45" s="45"/>
      <c r="O45" s="113" t="s">
        <v>508</v>
      </c>
      <c r="P45" s="113" t="s">
        <v>508</v>
      </c>
      <c r="Q45" s="113" t="s">
        <v>508</v>
      </c>
      <c r="R45" s="12"/>
    </row>
    <row r="46" spans="2:18" ht="12" customHeight="1" x14ac:dyDescent="0.2">
      <c r="B46" s="100"/>
      <c r="C46" s="114"/>
      <c r="D46" s="45"/>
      <c r="E46" s="45"/>
      <c r="F46" s="45"/>
      <c r="G46" s="113" t="str">
        <f>TEXT(Facility_Production_NewTech,"#,##0")&amp;" "&amp;Ref_Volume_Unit</f>
        <v>730 Million Gallons</v>
      </c>
      <c r="H46" s="113" t="str">
        <f>TEXT(Ref_Volume,"#,##0")&amp;" "&amp;Ref_Volume_Unit</f>
        <v>2 Million Gallons</v>
      </c>
      <c r="I46" s="45"/>
      <c r="J46" s="45"/>
      <c r="K46" s="45"/>
      <c r="L46" s="45"/>
      <c r="M46" s="45"/>
      <c r="N46" s="45"/>
      <c r="O46" s="113" t="str">
        <f>TEXT(Facility_Production_Benchmark,"#,##0")&amp;" "&amp;Ref_Volume_Unit</f>
        <v>730 Million Gallons</v>
      </c>
      <c r="P46" s="113" t="str">
        <f>TEXT(Facility_Production_NewTech*Ref_Volume_Benchmark/Ref_Volume,"#,##0")&amp;" "&amp;Ref_Volume_Unit</f>
        <v>730 Million Gallons</v>
      </c>
      <c r="Q46" s="113" t="str">
        <f>TEXT(Ref_Volume_Benchmark,"#,##0")&amp;" "&amp;Ref_Volume_Unit</f>
        <v>2 Million Gallons</v>
      </c>
      <c r="R46" s="12"/>
    </row>
    <row r="47" spans="2:18" ht="36" x14ac:dyDescent="0.2">
      <c r="B47" s="100"/>
      <c r="C47" s="114"/>
      <c r="D47" s="45"/>
      <c r="E47" s="45"/>
      <c r="F47" s="45"/>
      <c r="G47" s="206" t="s">
        <v>509</v>
      </c>
      <c r="H47" s="206" t="s">
        <v>510</v>
      </c>
      <c r="I47" s="207"/>
      <c r="J47" s="207"/>
      <c r="K47" s="207"/>
      <c r="L47" s="207"/>
      <c r="M47" s="207"/>
      <c r="N47" s="207"/>
      <c r="O47" s="206" t="s">
        <v>509</v>
      </c>
      <c r="P47" s="206" t="s">
        <v>511</v>
      </c>
      <c r="Q47" s="206" t="s">
        <v>510</v>
      </c>
      <c r="R47" s="12"/>
    </row>
    <row r="48" spans="2:18" x14ac:dyDescent="0.2">
      <c r="B48" s="100"/>
      <c r="C48" s="114"/>
      <c r="D48" s="45"/>
      <c r="E48" s="45"/>
      <c r="F48" s="45"/>
      <c r="G48" s="45"/>
      <c r="H48" s="45"/>
      <c r="I48" s="45"/>
      <c r="J48" s="45"/>
      <c r="K48" s="45"/>
      <c r="L48" s="45"/>
      <c r="M48" s="45"/>
      <c r="N48" s="45"/>
      <c r="O48" s="45"/>
      <c r="P48" s="45"/>
      <c r="Q48" s="45"/>
      <c r="R48" s="12"/>
    </row>
    <row r="49" spans="2:18" ht="18" x14ac:dyDescent="0.2">
      <c r="B49" s="1163" t="s">
        <v>122</v>
      </c>
      <c r="C49" s="1165"/>
      <c r="D49" s="1165"/>
      <c r="E49" s="1165"/>
      <c r="F49" s="1165"/>
      <c r="G49" s="1165"/>
      <c r="H49" s="1165"/>
      <c r="I49" s="1165"/>
      <c r="J49" s="1165"/>
      <c r="K49" s="1165"/>
      <c r="L49" s="1165"/>
      <c r="M49" s="1165"/>
      <c r="N49" s="1165"/>
      <c r="O49" s="96"/>
      <c r="P49" s="96"/>
      <c r="Q49" s="96"/>
      <c r="R49" s="97"/>
    </row>
    <row r="50" spans="2:18" ht="18" x14ac:dyDescent="0.2">
      <c r="B50" s="603"/>
      <c r="C50" s="597"/>
      <c r="D50" s="597"/>
      <c r="E50" s="597"/>
      <c r="F50" s="597"/>
      <c r="G50" s="597"/>
      <c r="H50" s="597"/>
      <c r="I50" s="597"/>
      <c r="J50" s="597"/>
      <c r="K50" s="597"/>
      <c r="L50" s="597"/>
      <c r="M50" s="597"/>
      <c r="N50" s="597"/>
      <c r="O50" s="45"/>
      <c r="P50" s="45"/>
      <c r="Q50" s="45"/>
      <c r="R50" s="12"/>
    </row>
    <row r="51" spans="2:18" ht="15" customHeight="1" x14ac:dyDescent="0.2">
      <c r="B51" s="1145" t="s">
        <v>123</v>
      </c>
      <c r="C51" s="1207" t="s">
        <v>512</v>
      </c>
      <c r="D51" s="1208"/>
      <c r="E51" s="1208"/>
      <c r="F51" s="1208"/>
      <c r="G51" s="1208"/>
      <c r="H51" s="1208"/>
      <c r="I51" s="1208"/>
      <c r="J51" s="1208"/>
      <c r="K51" s="1208"/>
      <c r="L51" s="1208"/>
      <c r="M51" s="1208"/>
      <c r="N51" s="1208"/>
      <c r="O51" s="1208"/>
      <c r="P51" s="1208"/>
      <c r="Q51" s="1209"/>
      <c r="R51" s="25"/>
    </row>
    <row r="52" spans="2:18" x14ac:dyDescent="0.2">
      <c r="B52" s="1145"/>
      <c r="C52" s="1207" t="s">
        <v>513</v>
      </c>
      <c r="D52" s="1208"/>
      <c r="E52" s="1208"/>
      <c r="F52" s="1208"/>
      <c r="G52" s="1208"/>
      <c r="H52" s="1208"/>
      <c r="I52" s="1208"/>
      <c r="J52" s="1208"/>
      <c r="K52" s="1208"/>
      <c r="L52" s="1208"/>
      <c r="M52" s="1208"/>
      <c r="N52" s="1208"/>
      <c r="O52" s="1208"/>
      <c r="P52" s="1208"/>
      <c r="Q52" s="1209"/>
      <c r="R52" s="25"/>
    </row>
    <row r="53" spans="2:18" x14ac:dyDescent="0.2">
      <c r="B53" s="1145"/>
      <c r="C53" s="1207" t="s">
        <v>514</v>
      </c>
      <c r="D53" s="1208"/>
      <c r="E53" s="1208"/>
      <c r="F53" s="1208"/>
      <c r="G53" s="1208"/>
      <c r="H53" s="1208"/>
      <c r="I53" s="1208"/>
      <c r="J53" s="1208"/>
      <c r="K53" s="1208"/>
      <c r="L53" s="1208"/>
      <c r="M53" s="1208"/>
      <c r="N53" s="1208"/>
      <c r="O53" s="1208"/>
      <c r="P53" s="1208"/>
      <c r="Q53" s="1209"/>
      <c r="R53" s="25"/>
    </row>
    <row r="54" spans="2:18" x14ac:dyDescent="0.2">
      <c r="B54" s="1145"/>
      <c r="C54" s="1207" t="s">
        <v>515</v>
      </c>
      <c r="D54" s="1208"/>
      <c r="E54" s="1208"/>
      <c r="F54" s="1208"/>
      <c r="G54" s="1208"/>
      <c r="H54" s="1208"/>
      <c r="I54" s="1208"/>
      <c r="J54" s="1208"/>
      <c r="K54" s="1208"/>
      <c r="L54" s="1208"/>
      <c r="M54" s="1208"/>
      <c r="N54" s="1208"/>
      <c r="O54" s="1208"/>
      <c r="P54" s="1208"/>
      <c r="Q54" s="1209"/>
      <c r="R54" s="25"/>
    </row>
    <row r="55" spans="2:18" x14ac:dyDescent="0.2">
      <c r="B55" s="1145"/>
      <c r="C55" s="1207"/>
      <c r="D55" s="1208"/>
      <c r="E55" s="1208"/>
      <c r="F55" s="1208"/>
      <c r="G55" s="1208"/>
      <c r="H55" s="1208"/>
      <c r="I55" s="1208"/>
      <c r="J55" s="1208"/>
      <c r="K55" s="1208"/>
      <c r="L55" s="1208"/>
      <c r="M55" s="1208"/>
      <c r="N55" s="1208"/>
      <c r="O55" s="1208"/>
      <c r="P55" s="1208"/>
      <c r="Q55" s="1209"/>
      <c r="R55" s="25"/>
    </row>
    <row r="56" spans="2:18" x14ac:dyDescent="0.2">
      <c r="B56" s="2"/>
      <c r="C56" s="3"/>
      <c r="D56" s="3"/>
      <c r="E56" s="3"/>
      <c r="F56" s="3"/>
      <c r="G56" s="3"/>
      <c r="H56" s="3"/>
      <c r="I56" s="3"/>
      <c r="J56" s="3"/>
      <c r="K56" s="3"/>
      <c r="L56" s="3"/>
      <c r="M56" s="3"/>
      <c r="N56" s="3"/>
      <c r="O56" s="89"/>
      <c r="P56" s="89"/>
      <c r="Q56" s="89"/>
      <c r="R56" s="90"/>
    </row>
    <row r="57" spans="2:18" ht="18" x14ac:dyDescent="0.2">
      <c r="B57" s="1163" t="s">
        <v>170</v>
      </c>
      <c r="C57" s="1165"/>
      <c r="D57" s="1165"/>
      <c r="E57" s="1165"/>
      <c r="F57" s="1165"/>
      <c r="G57" s="1165"/>
      <c r="H57" s="1165"/>
      <c r="I57" s="1165"/>
      <c r="J57" s="1165"/>
      <c r="K57" s="1165"/>
      <c r="L57" s="1165"/>
      <c r="M57" s="1165"/>
      <c r="N57" s="1165"/>
      <c r="O57" s="96"/>
      <c r="P57" s="96"/>
      <c r="Q57" s="96"/>
      <c r="R57" s="97"/>
    </row>
    <row r="58" spans="2:18" ht="18" x14ac:dyDescent="0.2">
      <c r="B58" s="7" t="s">
        <v>171</v>
      </c>
      <c r="C58" s="597"/>
      <c r="D58" s="597"/>
      <c r="E58" s="597"/>
      <c r="F58" s="597"/>
      <c r="G58" s="597"/>
      <c r="H58" s="597"/>
      <c r="I58" s="597"/>
      <c r="J58" s="597"/>
      <c r="K58" s="597"/>
      <c r="L58" s="597"/>
      <c r="M58" s="597"/>
      <c r="N58" s="597"/>
      <c r="O58" s="45"/>
      <c r="P58" s="45"/>
      <c r="Q58" s="45"/>
      <c r="R58" s="12"/>
    </row>
    <row r="59" spans="2:18" ht="18" x14ac:dyDescent="0.2">
      <c r="B59" s="603"/>
      <c r="C59" s="597"/>
      <c r="D59" s="597"/>
      <c r="E59" s="597"/>
      <c r="F59" s="597"/>
      <c r="G59" s="597"/>
      <c r="H59" s="597"/>
      <c r="I59" s="597"/>
      <c r="J59" s="597"/>
      <c r="K59" s="597"/>
      <c r="L59" s="597"/>
      <c r="M59" s="597"/>
      <c r="N59" s="597"/>
      <c r="O59" s="45"/>
      <c r="P59" s="45"/>
      <c r="Q59" s="45"/>
      <c r="R59" s="12"/>
    </row>
    <row r="60" spans="2:18" ht="18" x14ac:dyDescent="0.2">
      <c r="B60" s="7" t="s">
        <v>516</v>
      </c>
      <c r="C60" s="18"/>
      <c r="D60" s="18"/>
      <c r="E60" s="18"/>
      <c r="F60" s="18"/>
      <c r="G60" s="18"/>
      <c r="H60" s="18"/>
      <c r="I60" s="18"/>
      <c r="J60" s="18"/>
      <c r="K60" s="18"/>
      <c r="L60" s="18"/>
      <c r="M60" s="597"/>
      <c r="N60" s="597"/>
      <c r="O60" s="45"/>
      <c r="P60" s="45"/>
      <c r="Q60" s="45"/>
      <c r="R60" s="12"/>
    </row>
    <row r="61" spans="2:18" ht="18" x14ac:dyDescent="0.2">
      <c r="B61" s="845">
        <v>250000</v>
      </c>
      <c r="C61" s="18" t="s">
        <v>517</v>
      </c>
      <c r="D61" s="18"/>
      <c r="E61" s="18"/>
      <c r="F61" s="18"/>
      <c r="G61" s="18"/>
      <c r="H61" s="18"/>
      <c r="I61" s="18"/>
      <c r="J61" s="18"/>
      <c r="K61" s="18"/>
      <c r="L61" s="18"/>
      <c r="M61" s="597"/>
      <c r="N61" s="597"/>
      <c r="O61" s="45"/>
      <c r="P61" s="45"/>
      <c r="Q61" s="45"/>
      <c r="R61" s="12"/>
    </row>
    <row r="62" spans="2:18" ht="18" x14ac:dyDescent="0.2">
      <c r="B62" s="7"/>
      <c r="C62" s="18"/>
      <c r="D62" s="18"/>
      <c r="E62" s="18"/>
      <c r="F62" s="18"/>
      <c r="G62" s="18"/>
      <c r="H62" s="18"/>
      <c r="I62" s="18"/>
      <c r="J62" s="18"/>
      <c r="K62" s="18"/>
      <c r="L62" s="18"/>
      <c r="M62" s="597"/>
      <c r="N62" s="597"/>
      <c r="O62" s="45"/>
      <c r="P62" s="45"/>
      <c r="Q62" s="45"/>
      <c r="R62" s="12"/>
    </row>
    <row r="63" spans="2:18" ht="18" x14ac:dyDescent="0.2">
      <c r="B63" s="7" t="s">
        <v>518</v>
      </c>
      <c r="C63" s="18"/>
      <c r="D63" s="18"/>
      <c r="E63" s="18"/>
      <c r="F63" s="18"/>
      <c r="G63" s="18"/>
      <c r="H63" s="18"/>
      <c r="I63" s="18"/>
      <c r="J63" s="18"/>
      <c r="K63" s="18"/>
      <c r="L63" s="18"/>
      <c r="M63" s="597"/>
      <c r="N63" s="597"/>
      <c r="O63" s="45"/>
      <c r="P63" s="45"/>
      <c r="Q63" s="45"/>
      <c r="R63" s="12"/>
    </row>
    <row r="64" spans="2:18" ht="18" x14ac:dyDescent="0.2">
      <c r="B64" s="7">
        <f>'Use Phase Energy'!C98</f>
        <v>61.033343629343641</v>
      </c>
      <c r="C64" s="18" t="s">
        <v>519</v>
      </c>
      <c r="D64" s="18"/>
      <c r="E64" s="18"/>
      <c r="F64" s="18"/>
      <c r="G64" s="18"/>
      <c r="H64" s="18"/>
      <c r="I64" s="18"/>
      <c r="J64" s="18"/>
      <c r="K64" s="18"/>
      <c r="L64" s="18"/>
      <c r="M64" s="597"/>
      <c r="N64" s="597"/>
      <c r="O64" s="45"/>
      <c r="P64" s="45"/>
      <c r="Q64" s="45"/>
      <c r="R64" s="12"/>
    </row>
    <row r="65" spans="2:18" ht="18" x14ac:dyDescent="0.2">
      <c r="B65" s="7">
        <f>B64/24</f>
        <v>2.543055984555985</v>
      </c>
      <c r="C65" s="18" t="s">
        <v>520</v>
      </c>
      <c r="D65" s="18"/>
      <c r="E65" s="18"/>
      <c r="F65" s="18"/>
      <c r="G65" s="18"/>
      <c r="H65" s="18"/>
      <c r="I65" s="18"/>
      <c r="J65" s="18"/>
      <c r="K65" s="18"/>
      <c r="L65" s="18"/>
      <c r="M65" s="597"/>
      <c r="N65" s="597"/>
      <c r="O65" s="45"/>
      <c r="P65" s="45"/>
      <c r="Q65" s="45"/>
      <c r="R65" s="12"/>
    </row>
    <row r="66" spans="2:18" ht="18" x14ac:dyDescent="0.2">
      <c r="B66" s="845">
        <v>100000</v>
      </c>
      <c r="C66" s="18" t="s">
        <v>521</v>
      </c>
      <c r="D66" s="18"/>
      <c r="E66" s="18"/>
      <c r="F66" s="18"/>
      <c r="G66" s="18"/>
      <c r="H66" s="18"/>
      <c r="I66" s="18"/>
      <c r="J66" s="18"/>
      <c r="K66" s="18"/>
      <c r="L66" s="18"/>
      <c r="M66" s="597"/>
      <c r="N66" s="597"/>
      <c r="O66" s="45"/>
      <c r="P66" s="45"/>
      <c r="Q66" s="45"/>
      <c r="R66" s="12"/>
    </row>
    <row r="67" spans="2:18" ht="18" x14ac:dyDescent="0.2">
      <c r="B67" s="935">
        <f>B65*B66</f>
        <v>254305.59845559849</v>
      </c>
      <c r="C67" s="18" t="s">
        <v>522</v>
      </c>
      <c r="D67" s="18"/>
      <c r="E67" s="18"/>
      <c r="F67" s="18"/>
      <c r="G67" s="18"/>
      <c r="H67" s="18"/>
      <c r="I67" s="18"/>
      <c r="J67" s="18"/>
      <c r="K67" s="18"/>
      <c r="L67" s="18"/>
      <c r="M67" s="597"/>
      <c r="N67" s="597"/>
      <c r="O67" s="45"/>
      <c r="P67" s="45"/>
      <c r="Q67" s="45"/>
      <c r="R67" s="12"/>
    </row>
    <row r="68" spans="2:18" ht="18" x14ac:dyDescent="0.2">
      <c r="B68" s="7"/>
      <c r="C68" s="18"/>
      <c r="D68" s="18"/>
      <c r="E68" s="18"/>
      <c r="F68" s="18"/>
      <c r="G68" s="18"/>
      <c r="H68" s="18"/>
      <c r="I68" s="18"/>
      <c r="J68" s="18"/>
      <c r="K68" s="18"/>
      <c r="L68" s="18"/>
      <c r="M68" s="597"/>
      <c r="N68" s="597"/>
      <c r="O68" s="45"/>
      <c r="P68" s="45"/>
      <c r="Q68" s="45"/>
      <c r="R68" s="12"/>
    </row>
    <row r="69" spans="2:18" ht="18" x14ac:dyDescent="0.2">
      <c r="B69" s="7" t="s">
        <v>523</v>
      </c>
      <c r="C69" s="18"/>
      <c r="D69" s="18"/>
      <c r="E69" s="18"/>
      <c r="F69" s="18"/>
      <c r="G69" s="18"/>
      <c r="H69" s="18"/>
      <c r="I69" s="18"/>
      <c r="J69" s="18"/>
      <c r="K69" s="18"/>
      <c r="L69" s="18"/>
      <c r="M69" s="597"/>
      <c r="N69" s="597"/>
      <c r="O69" s="45"/>
      <c r="P69" s="45"/>
      <c r="Q69" s="45"/>
      <c r="R69" s="12"/>
    </row>
    <row r="70" spans="2:18" ht="18" x14ac:dyDescent="0.2">
      <c r="B70" s="7" t="s">
        <v>524</v>
      </c>
      <c r="C70" s="18"/>
      <c r="D70" s="18"/>
      <c r="E70" s="18"/>
      <c r="F70" s="18"/>
      <c r="G70" s="18"/>
      <c r="H70" s="18"/>
      <c r="I70" s="18"/>
      <c r="J70" s="18"/>
      <c r="K70" s="18"/>
      <c r="L70" s="18"/>
      <c r="M70" s="597"/>
      <c r="N70" s="597"/>
      <c r="O70" s="45"/>
      <c r="P70" s="45"/>
      <c r="Q70" s="45"/>
      <c r="R70" s="12"/>
    </row>
    <row r="71" spans="2:18" ht="18" x14ac:dyDescent="0.2">
      <c r="B71" s="603"/>
      <c r="C71" s="597"/>
      <c r="D71" s="597"/>
      <c r="E71" s="597"/>
      <c r="F71" s="597"/>
      <c r="G71" s="597"/>
      <c r="H71" s="597"/>
      <c r="I71" s="597"/>
      <c r="J71" s="597"/>
      <c r="K71" s="597"/>
      <c r="L71" s="597"/>
      <c r="M71" s="597"/>
      <c r="N71" s="597"/>
      <c r="O71" s="45"/>
      <c r="P71" s="45"/>
      <c r="Q71" s="45"/>
      <c r="R71" s="12"/>
    </row>
    <row r="72" spans="2:18" ht="18" x14ac:dyDescent="0.2">
      <c r="B72" s="603"/>
      <c r="C72" s="597"/>
      <c r="D72" s="597"/>
      <c r="E72" s="597"/>
      <c r="F72" s="597"/>
      <c r="G72" s="597"/>
      <c r="H72" s="597"/>
      <c r="I72" s="597"/>
      <c r="J72" s="597"/>
      <c r="K72" s="597"/>
      <c r="L72" s="597"/>
      <c r="M72" s="597"/>
      <c r="N72" s="597"/>
      <c r="O72" s="45"/>
      <c r="P72" s="45"/>
      <c r="Q72" s="45"/>
      <c r="R72" s="12"/>
    </row>
    <row r="73" spans="2:18" ht="18" x14ac:dyDescent="0.2">
      <c r="B73" s="603"/>
      <c r="C73" s="597"/>
      <c r="D73" s="597"/>
      <c r="E73" s="597"/>
      <c r="F73" s="597"/>
      <c r="G73" s="597"/>
      <c r="H73" s="597"/>
      <c r="I73" s="597"/>
      <c r="J73" s="597"/>
      <c r="K73" s="597"/>
      <c r="L73" s="597"/>
      <c r="M73" s="597"/>
      <c r="N73" s="597"/>
      <c r="O73" s="45"/>
      <c r="P73" s="45"/>
      <c r="Q73" s="45"/>
      <c r="R73" s="12"/>
    </row>
    <row r="74" spans="2:18" ht="18" x14ac:dyDescent="0.2">
      <c r="B74" s="603"/>
      <c r="C74" s="597"/>
      <c r="D74" s="597"/>
      <c r="E74" s="597"/>
      <c r="F74" s="597"/>
      <c r="G74" s="597"/>
      <c r="H74" s="597"/>
      <c r="I74" s="597"/>
      <c r="J74" s="597"/>
      <c r="K74" s="597"/>
      <c r="L74" s="597"/>
      <c r="M74" s="597"/>
      <c r="N74" s="597"/>
      <c r="O74" s="45"/>
      <c r="P74" s="45"/>
      <c r="Q74" s="45"/>
      <c r="R74" s="12"/>
    </row>
    <row r="75" spans="2:18" ht="18" x14ac:dyDescent="0.2">
      <c r="B75" s="603"/>
      <c r="C75" s="597"/>
      <c r="D75" s="597"/>
      <c r="E75" s="597"/>
      <c r="F75" s="597"/>
      <c r="G75" s="597"/>
      <c r="H75" s="597"/>
      <c r="I75" s="597"/>
      <c r="J75" s="597"/>
      <c r="K75" s="597"/>
      <c r="L75" s="597"/>
      <c r="M75" s="597"/>
      <c r="N75" s="597"/>
      <c r="O75" s="45"/>
      <c r="P75" s="45"/>
      <c r="Q75" s="45"/>
      <c r="R75" s="12"/>
    </row>
    <row r="76" spans="2:18" ht="18" x14ac:dyDescent="0.2">
      <c r="B76" s="603"/>
      <c r="C76" s="597"/>
      <c r="D76" s="597"/>
      <c r="E76" s="597"/>
      <c r="F76" s="597"/>
      <c r="G76" s="597"/>
      <c r="H76" s="597"/>
      <c r="I76" s="597"/>
      <c r="J76" s="597"/>
      <c r="K76" s="597"/>
      <c r="L76" s="597"/>
      <c r="M76" s="597"/>
      <c r="N76" s="597"/>
      <c r="O76" s="45"/>
      <c r="P76" s="45"/>
      <c r="Q76" s="45"/>
      <c r="R76" s="12"/>
    </row>
    <row r="77" spans="2:18" ht="18" x14ac:dyDescent="0.2">
      <c r="B77" s="603"/>
      <c r="C77" s="597"/>
      <c r="D77" s="597"/>
      <c r="E77" s="597"/>
      <c r="F77" s="597"/>
      <c r="G77" s="597"/>
      <c r="H77" s="597"/>
      <c r="I77" s="597"/>
      <c r="J77" s="597"/>
      <c r="K77" s="597"/>
      <c r="L77" s="597"/>
      <c r="M77" s="597"/>
      <c r="N77" s="597"/>
      <c r="O77" s="45"/>
      <c r="P77" s="45"/>
      <c r="Q77" s="45"/>
      <c r="R77" s="12"/>
    </row>
    <row r="78" spans="2:18" x14ac:dyDescent="0.2">
      <c r="B78" s="2"/>
      <c r="C78" s="3"/>
      <c r="D78" s="3"/>
      <c r="E78" s="3"/>
      <c r="F78" s="3"/>
      <c r="G78" s="3"/>
      <c r="H78" s="3"/>
      <c r="I78" s="3"/>
      <c r="J78" s="3"/>
      <c r="K78" s="3"/>
      <c r="L78" s="3"/>
      <c r="M78" s="3"/>
      <c r="N78" s="3"/>
      <c r="O78" s="89"/>
      <c r="P78" s="89"/>
      <c r="Q78" s="89"/>
      <c r="R78" s="90"/>
    </row>
    <row r="79" spans="2:18" x14ac:dyDescent="0.2">
      <c r="B79" s="1206" t="s">
        <v>124</v>
      </c>
      <c r="C79" s="1169"/>
      <c r="D79" s="1169"/>
      <c r="E79" s="1170"/>
    </row>
  </sheetData>
  <mergeCells count="39">
    <mergeCell ref="B79:E79"/>
    <mergeCell ref="J14:Q14"/>
    <mergeCell ref="J22:J25"/>
    <mergeCell ref="K22:K25"/>
    <mergeCell ref="J27:J30"/>
    <mergeCell ref="K27:K30"/>
    <mergeCell ref="B18:K18"/>
    <mergeCell ref="B14:H14"/>
    <mergeCell ref="B22:B25"/>
    <mergeCell ref="B27:B30"/>
    <mergeCell ref="C22:C25"/>
    <mergeCell ref="C27:C30"/>
    <mergeCell ref="B32:B35"/>
    <mergeCell ref="J37:J40"/>
    <mergeCell ref="B57:N57"/>
    <mergeCell ref="B49:N49"/>
    <mergeCell ref="B1:Q1"/>
    <mergeCell ref="B2:Q2"/>
    <mergeCell ref="B4:Q4"/>
    <mergeCell ref="B6:O6"/>
    <mergeCell ref="D3:G3"/>
    <mergeCell ref="C8:H8"/>
    <mergeCell ref="K8:O8"/>
    <mergeCell ref="C9:H9"/>
    <mergeCell ref="K9:O9"/>
    <mergeCell ref="C10:H10"/>
    <mergeCell ref="K10:O10"/>
    <mergeCell ref="B51:B55"/>
    <mergeCell ref="C51:Q51"/>
    <mergeCell ref="C52:Q52"/>
    <mergeCell ref="C53:Q53"/>
    <mergeCell ref="C54:Q54"/>
    <mergeCell ref="C55:Q55"/>
    <mergeCell ref="B37:B40"/>
    <mergeCell ref="C32:C35"/>
    <mergeCell ref="J32:J35"/>
    <mergeCell ref="K32:K35"/>
    <mergeCell ref="K37:K40"/>
    <mergeCell ref="C37:C40"/>
  </mergeCells>
  <hyperlinks>
    <hyperlink ref="D3:F3" location="FullDataLanding" display="Return to Planning Page" xr:uid="{CD0E10AC-2EDB-4FF4-AF9B-A0F1F684A75A}"/>
    <hyperlink ref="B79:D79" location="FullDataLanding" display="Return to Planning Page" xr:uid="{58887870-FF92-475E-AACA-905701ADDBA2}"/>
    <hyperlink ref="B79:E79" location="FullDataLanding" display="Return to Home Page" xr:uid="{1378542C-54C4-4F7E-AE10-3C4ED496BA02}"/>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1B057-519A-4C97-9211-CD0D67F4310D}">
  <sheetPr>
    <tabColor rgb="FF00B050"/>
  </sheetPr>
  <dimension ref="A1:S128"/>
  <sheetViews>
    <sheetView workbookViewId="0"/>
  </sheetViews>
  <sheetFormatPr baseColWidth="10" defaultColWidth="8.83203125" defaultRowHeight="15" x14ac:dyDescent="0.2"/>
  <cols>
    <col min="1" max="1" width="2.6640625" customWidth="1"/>
    <col min="2" max="2" width="29.6640625" customWidth="1"/>
    <col min="3" max="3" width="15.5" customWidth="1"/>
    <col min="4" max="4" width="11.6640625" customWidth="1"/>
    <col min="5" max="5" width="15.6640625" customWidth="1"/>
    <col min="6" max="6" width="16.33203125" customWidth="1"/>
    <col min="7" max="7" width="15.5" customWidth="1"/>
    <col min="8" max="8" width="5" customWidth="1"/>
    <col min="9" max="9" width="29.33203125" customWidth="1"/>
    <col min="10" max="10" width="20.6640625" customWidth="1"/>
    <col min="11" max="11" width="11.6640625" customWidth="1"/>
    <col min="12" max="12" width="16" customWidth="1"/>
    <col min="13" max="14" width="15.6640625" customWidth="1"/>
    <col min="15" max="15" width="15.5" customWidth="1"/>
    <col min="16" max="16" width="2.6640625" customWidth="1"/>
  </cols>
  <sheetData>
    <row r="1" spans="1:16" ht="15.75" customHeight="1" x14ac:dyDescent="0.2">
      <c r="A1" s="5"/>
      <c r="B1" s="1159" t="s">
        <v>0</v>
      </c>
      <c r="C1" s="1160"/>
      <c r="D1" s="1160"/>
      <c r="E1" s="1160"/>
      <c r="F1" s="1160"/>
      <c r="G1" s="1160"/>
      <c r="H1" s="1160"/>
      <c r="I1" s="1160"/>
      <c r="J1" s="1160"/>
      <c r="K1" s="1160"/>
      <c r="L1" s="1160"/>
      <c r="M1" s="1160"/>
      <c r="N1" s="1160"/>
      <c r="O1" s="1160"/>
      <c r="P1" s="665"/>
    </row>
    <row r="2" spans="1:16" ht="21" customHeight="1" x14ac:dyDescent="0.2">
      <c r="A2" s="5"/>
      <c r="B2" s="1161" t="s">
        <v>1</v>
      </c>
      <c r="C2" s="1162"/>
      <c r="D2" s="1333"/>
      <c r="E2" s="1333"/>
      <c r="F2" s="1333"/>
      <c r="G2" s="1333"/>
      <c r="H2" s="1162"/>
      <c r="I2" s="1162"/>
      <c r="J2" s="1162"/>
      <c r="K2" s="1162"/>
      <c r="L2" s="1162"/>
      <c r="M2" s="1162"/>
      <c r="N2" s="1162"/>
      <c r="O2" s="1162"/>
      <c r="P2" s="32"/>
    </row>
    <row r="3" spans="1:16" ht="16.25" customHeight="1" x14ac:dyDescent="0.2">
      <c r="A3" s="5"/>
      <c r="B3" s="713"/>
      <c r="C3" s="714"/>
      <c r="D3" s="1206" t="s">
        <v>126</v>
      </c>
      <c r="E3" s="1169"/>
      <c r="F3" s="1169"/>
      <c r="G3" s="1170"/>
      <c r="H3" s="714"/>
      <c r="I3" s="714"/>
      <c r="J3" s="714"/>
      <c r="K3" s="714"/>
      <c r="L3" s="714"/>
      <c r="M3" s="714"/>
      <c r="N3" s="714"/>
      <c r="O3" s="714"/>
      <c r="P3" s="716"/>
    </row>
    <row r="4" spans="1:16" ht="18" x14ac:dyDescent="0.2">
      <c r="A4" s="5"/>
      <c r="B4" s="1163" t="s">
        <v>525</v>
      </c>
      <c r="C4" s="1165"/>
      <c r="D4" s="1164"/>
      <c r="E4" s="1164"/>
      <c r="F4" s="1164"/>
      <c r="G4" s="1164"/>
      <c r="H4" s="1165"/>
      <c r="I4" s="1165"/>
      <c r="J4" s="1165"/>
      <c r="K4" s="1165"/>
      <c r="L4" s="1165"/>
      <c r="M4" s="1165"/>
      <c r="N4" s="1165"/>
      <c r="O4" s="1165"/>
      <c r="P4" s="648"/>
    </row>
    <row r="5" spans="1:16" ht="18" x14ac:dyDescent="0.2">
      <c r="A5" s="5"/>
      <c r="B5" s="603"/>
      <c r="C5" s="597"/>
      <c r="D5" s="597"/>
      <c r="E5" s="597"/>
      <c r="F5" s="597"/>
      <c r="G5" s="597"/>
      <c r="H5" s="597"/>
      <c r="I5" s="597"/>
      <c r="J5" s="597"/>
      <c r="K5" s="597"/>
      <c r="L5" s="597"/>
      <c r="M5" s="597"/>
      <c r="N5" s="597"/>
      <c r="O5" s="597"/>
      <c r="P5" s="6"/>
    </row>
    <row r="6" spans="1:16" ht="61.5" customHeight="1" x14ac:dyDescent="0.2">
      <c r="A6" s="5"/>
      <c r="B6" s="1188" t="s">
        <v>526</v>
      </c>
      <c r="C6" s="1189"/>
      <c r="D6" s="1189"/>
      <c r="E6" s="1189"/>
      <c r="F6" s="1189"/>
      <c r="G6" s="1189"/>
      <c r="H6" s="1189"/>
      <c r="I6" s="1189"/>
      <c r="J6" s="1189"/>
      <c r="K6" s="1189"/>
      <c r="L6" s="1189"/>
      <c r="M6" s="24"/>
      <c r="N6" s="24"/>
      <c r="O6" s="24"/>
      <c r="P6" s="6"/>
    </row>
    <row r="7" spans="1:16" ht="18" x14ac:dyDescent="0.2">
      <c r="A7" s="5"/>
      <c r="B7" s="646"/>
      <c r="C7" s="647"/>
      <c r="D7" s="647"/>
      <c r="E7" s="647"/>
      <c r="F7" s="647"/>
      <c r="G7" s="647"/>
      <c r="H7" s="597"/>
      <c r="I7" s="597"/>
      <c r="J7" s="597"/>
      <c r="K7" s="597"/>
      <c r="L7" s="597"/>
      <c r="M7" s="597"/>
      <c r="N7" s="597"/>
      <c r="O7" s="597"/>
      <c r="P7" s="6"/>
    </row>
    <row r="8" spans="1:16" ht="17" customHeight="1" x14ac:dyDescent="0.2">
      <c r="A8" s="5"/>
      <c r="B8" s="43"/>
      <c r="C8" s="1262" t="s">
        <v>174</v>
      </c>
      <c r="D8" s="1263"/>
      <c r="E8" s="1263"/>
      <c r="F8" s="1263"/>
      <c r="G8" s="1264"/>
      <c r="H8" s="597"/>
      <c r="I8" s="41"/>
      <c r="J8" s="1262" t="s">
        <v>162</v>
      </c>
      <c r="K8" s="1263"/>
      <c r="L8" s="1263"/>
      <c r="M8" s="1263"/>
      <c r="N8" s="1263"/>
      <c r="O8" s="1264"/>
      <c r="P8" s="6"/>
    </row>
    <row r="9" spans="1:16" ht="17" customHeight="1" x14ac:dyDescent="0.2">
      <c r="A9" s="5"/>
      <c r="B9" s="43" t="s">
        <v>163</v>
      </c>
      <c r="C9" s="1265" t="str">
        <f>New_Technology</f>
        <v>Waste Heat Recovery (Heat Pump)</v>
      </c>
      <c r="D9" s="1266"/>
      <c r="E9" s="1266"/>
      <c r="F9" s="1266"/>
      <c r="G9" s="1267"/>
      <c r="H9" s="597"/>
      <c r="I9" s="41" t="s">
        <v>163</v>
      </c>
      <c r="J9" s="1265" t="str">
        <f>Commercial_Benchmark</f>
        <v>Evaporative Condenser</v>
      </c>
      <c r="K9" s="1266"/>
      <c r="L9" s="1266"/>
      <c r="M9" s="1266"/>
      <c r="N9" s="1266"/>
      <c r="O9" s="1267"/>
      <c r="P9" s="6"/>
    </row>
    <row r="10" spans="1:16" ht="18" x14ac:dyDescent="0.2">
      <c r="A10" s="5"/>
      <c r="B10" s="43" t="s">
        <v>164</v>
      </c>
      <c r="C10" s="1265" t="str">
        <f>New_Technology_Apps</f>
        <v>Cooled Waste Water</v>
      </c>
      <c r="D10" s="1266"/>
      <c r="E10" s="1266"/>
      <c r="F10" s="1266"/>
      <c r="G10" s="1267"/>
      <c r="H10" s="597"/>
      <c r="I10" s="41" t="s">
        <v>164</v>
      </c>
      <c r="J10" s="1265" t="str">
        <f>Benchmark_Apps</f>
        <v>Cooled Waste Water</v>
      </c>
      <c r="K10" s="1266"/>
      <c r="L10" s="1266"/>
      <c r="M10" s="1266"/>
      <c r="N10" s="1266"/>
      <c r="O10" s="1267"/>
      <c r="P10" s="6"/>
    </row>
    <row r="11" spans="1:16" ht="18" x14ac:dyDescent="0.2">
      <c r="A11" s="5"/>
      <c r="B11" s="43" t="s">
        <v>527</v>
      </c>
      <c r="C11" s="746">
        <f>Ref_Volume</f>
        <v>2</v>
      </c>
      <c r="D11" s="650" t="str">
        <f>Ref_Volume_Unit</f>
        <v>Million Gallons</v>
      </c>
      <c r="E11" s="651"/>
      <c r="F11" s="651"/>
      <c r="G11" s="652"/>
      <c r="H11" s="597"/>
      <c r="I11" s="41" t="s">
        <v>175</v>
      </c>
      <c r="J11" s="744">
        <f>Ref_Volume_Benchmark</f>
        <v>2</v>
      </c>
      <c r="K11" s="650" t="str">
        <f>Ref_Volume_Unit</f>
        <v>Million Gallons</v>
      </c>
      <c r="L11" s="651"/>
      <c r="M11" s="651"/>
      <c r="N11" s="651"/>
      <c r="O11" s="652"/>
      <c r="P11" s="6"/>
    </row>
    <row r="12" spans="1:16" ht="18" x14ac:dyDescent="0.2">
      <c r="A12" s="5"/>
      <c r="B12" s="43" t="s">
        <v>528</v>
      </c>
      <c r="C12" s="746">
        <f>Facility_Production_NewTech</f>
        <v>730</v>
      </c>
      <c r="D12" s="650" t="str">
        <f>Ref_Volume_Unit</f>
        <v>Million Gallons</v>
      </c>
      <c r="E12" s="651"/>
      <c r="F12" s="651"/>
      <c r="G12" s="652"/>
      <c r="H12" s="597"/>
      <c r="I12" s="41" t="s">
        <v>528</v>
      </c>
      <c r="J12" s="746">
        <f>Facility_Production_Benchmark</f>
        <v>730</v>
      </c>
      <c r="K12" s="650" t="str">
        <f>Ref_Volume_Unit</f>
        <v>Million Gallons</v>
      </c>
      <c r="L12" s="651"/>
      <c r="M12" s="651"/>
      <c r="N12" s="651"/>
      <c r="O12" s="652"/>
      <c r="P12" s="6"/>
    </row>
    <row r="13" spans="1:16" ht="18" x14ac:dyDescent="0.2">
      <c r="A13" s="5"/>
      <c r="B13" s="55"/>
      <c r="C13" s="21" t="s">
        <v>529</v>
      </c>
      <c r="D13" s="21" t="s">
        <v>167</v>
      </c>
      <c r="E13" s="45"/>
      <c r="F13" s="21"/>
      <c r="G13" s="21"/>
      <c r="H13" s="597"/>
      <c r="I13" s="110"/>
      <c r="J13" s="21" t="s">
        <v>529</v>
      </c>
      <c r="K13" s="21" t="s">
        <v>167</v>
      </c>
      <c r="L13" s="21"/>
      <c r="M13" s="21"/>
      <c r="N13" s="21"/>
      <c r="O13" s="21"/>
      <c r="P13" s="6"/>
    </row>
    <row r="14" spans="1:16" ht="18" x14ac:dyDescent="0.2">
      <c r="A14" s="5"/>
      <c r="B14" s="55"/>
      <c r="C14" s="21"/>
      <c r="D14" s="21"/>
      <c r="E14" s="45"/>
      <c r="F14" s="21"/>
      <c r="G14" s="21"/>
      <c r="H14" s="597"/>
      <c r="I14" s="110"/>
      <c r="J14" s="21"/>
      <c r="K14" s="21"/>
      <c r="L14" s="21"/>
      <c r="M14" s="21"/>
      <c r="N14" s="21"/>
      <c r="O14" s="21"/>
      <c r="P14" s="6"/>
    </row>
    <row r="15" spans="1:16" ht="18" x14ac:dyDescent="0.2">
      <c r="A15" s="5"/>
      <c r="B15" s="1163" t="s">
        <v>530</v>
      </c>
      <c r="C15" s="1165"/>
      <c r="D15" s="1165"/>
      <c r="E15" s="1165"/>
      <c r="F15" s="1165"/>
      <c r="G15" s="1165"/>
      <c r="H15" s="1165"/>
      <c r="I15" s="1165"/>
      <c r="J15" s="1165"/>
      <c r="K15" s="1165"/>
      <c r="L15" s="1165"/>
      <c r="M15" s="1165"/>
      <c r="N15" s="644"/>
      <c r="O15" s="64"/>
      <c r="P15" s="648"/>
    </row>
    <row r="16" spans="1:16" ht="45.75" customHeight="1" x14ac:dyDescent="0.2">
      <c r="A16" s="5"/>
      <c r="B16" s="1188" t="s">
        <v>531</v>
      </c>
      <c r="C16" s="1189"/>
      <c r="D16" s="1189"/>
      <c r="E16" s="1189"/>
      <c r="F16" s="1189"/>
      <c r="G16" s="1189"/>
      <c r="H16" s="1189"/>
      <c r="I16" s="1189"/>
      <c r="J16" s="1189"/>
      <c r="K16" s="1189"/>
      <c r="L16" s="1189"/>
      <c r="M16" s="597"/>
      <c r="N16" s="597"/>
      <c r="O16" s="21"/>
      <c r="P16" s="6"/>
    </row>
    <row r="17" spans="1:18" ht="19.5" customHeight="1" x14ac:dyDescent="0.2">
      <c r="A17" s="5"/>
      <c r="B17" s="1188" t="s">
        <v>532</v>
      </c>
      <c r="C17" s="1189"/>
      <c r="D17" s="1189"/>
      <c r="E17" s="1189"/>
      <c r="F17" s="1189"/>
      <c r="G17" s="1189"/>
      <c r="H17" s="1189"/>
      <c r="I17" s="1189"/>
      <c r="J17" s="1189"/>
      <c r="K17" s="1189"/>
      <c r="L17" s="1189"/>
      <c r="M17" s="597"/>
      <c r="N17" s="597"/>
      <c r="O17" s="21"/>
      <c r="P17" s="6"/>
    </row>
    <row r="18" spans="1:18" ht="28.25" customHeight="1" x14ac:dyDescent="0.2">
      <c r="A18" s="5"/>
      <c r="B18" s="1334" t="s">
        <v>533</v>
      </c>
      <c r="C18" s="1335"/>
      <c r="D18" s="1335"/>
      <c r="E18" s="653"/>
      <c r="F18" s="116"/>
      <c r="G18" s="653"/>
      <c r="H18" s="653"/>
      <c r="I18" s="653"/>
      <c r="J18" s="653"/>
      <c r="K18" s="653"/>
      <c r="L18" s="653"/>
      <c r="M18" s="597"/>
      <c r="N18" s="597"/>
      <c r="O18" s="21"/>
      <c r="P18" s="6"/>
    </row>
    <row r="19" spans="1:18" ht="17" customHeight="1" x14ac:dyDescent="0.2">
      <c r="A19" s="5"/>
      <c r="B19" s="646"/>
      <c r="C19" s="647"/>
      <c r="D19" s="647"/>
      <c r="E19" s="647"/>
      <c r="F19" s="647"/>
      <c r="G19" s="647"/>
      <c r="H19" s="647"/>
      <c r="I19" s="647"/>
      <c r="J19" s="647"/>
      <c r="K19" s="647"/>
      <c r="L19" s="597"/>
      <c r="M19" s="597"/>
      <c r="N19" s="597"/>
      <c r="O19" s="21"/>
      <c r="P19" s="6"/>
    </row>
    <row r="20" spans="1:18" ht="17" customHeight="1" x14ac:dyDescent="0.2">
      <c r="A20" s="37"/>
      <c r="B20" s="669" t="s">
        <v>534</v>
      </c>
      <c r="C20" s="21"/>
      <c r="D20" s="21"/>
      <c r="E20" s="647"/>
      <c r="F20" s="647"/>
      <c r="G20" s="647"/>
      <c r="H20" s="647"/>
      <c r="I20" s="629" t="s">
        <v>535</v>
      </c>
      <c r="J20" s="21"/>
      <c r="K20" s="21"/>
      <c r="L20" s="647"/>
      <c r="M20" s="647"/>
      <c r="N20" s="647"/>
      <c r="O20" s="647"/>
      <c r="P20" s="51"/>
      <c r="Q20" s="37"/>
      <c r="R20" s="37"/>
    </row>
    <row r="21" spans="1:18" ht="57" x14ac:dyDescent="0.2">
      <c r="A21" s="37"/>
      <c r="B21" s="635"/>
      <c r="C21" s="54" t="s">
        <v>536</v>
      </c>
      <c r="D21" s="54" t="s">
        <v>537</v>
      </c>
      <c r="E21" s="54" t="s">
        <v>538</v>
      </c>
      <c r="F21" s="54" t="s">
        <v>539</v>
      </c>
      <c r="G21" s="54" t="s">
        <v>540</v>
      </c>
      <c r="H21" s="647"/>
      <c r="I21" s="635"/>
      <c r="J21" s="54" t="s">
        <v>536</v>
      </c>
      <c r="K21" s="54" t="s">
        <v>537</v>
      </c>
      <c r="L21" s="54" t="s">
        <v>538</v>
      </c>
      <c r="M21" s="54" t="s">
        <v>539</v>
      </c>
      <c r="N21" s="54" t="s">
        <v>541</v>
      </c>
      <c r="O21" s="54" t="s">
        <v>540</v>
      </c>
      <c r="P21" s="51"/>
      <c r="Q21" s="37"/>
      <c r="R21" s="37"/>
    </row>
    <row r="22" spans="1:18" ht="30" customHeight="1" x14ac:dyDescent="0.2">
      <c r="A22" s="37"/>
      <c r="B22" s="634" t="s">
        <v>542</v>
      </c>
      <c r="C22" s="946">
        <f>D124</f>
        <v>9.6153846153846159E-3</v>
      </c>
      <c r="D22" s="253">
        <v>75000</v>
      </c>
      <c r="E22" s="636">
        <v>0.72</v>
      </c>
      <c r="F22" s="258">
        <f>IF(C22&lt;&gt;"",C22*D22*(1+E22),"")</f>
        <v>1240.3846153846155</v>
      </c>
      <c r="G22" s="256">
        <f>IF(F22&lt;&gt;"",IF(Facility_Production_NewTech&lt;&gt;"",F22*Ref_Volume/Facility_Production_NewTech,""),"")</f>
        <v>3.3983140147523709</v>
      </c>
      <c r="H22" s="647"/>
      <c r="I22" s="634" t="s">
        <v>542</v>
      </c>
      <c r="J22" s="945">
        <f>E125</f>
        <v>3.3173076923076923E-2</v>
      </c>
      <c r="K22" s="253">
        <v>75000</v>
      </c>
      <c r="L22" s="636">
        <v>0.72</v>
      </c>
      <c r="M22" s="258">
        <f>IF(J22&lt;&gt;"",J22*K22*(1+L22),"")</f>
        <v>4279.3269230769229</v>
      </c>
      <c r="N22" s="258">
        <f>IF(M22&lt;&gt;"",M22*(Facility_Production_NewTech/Facility_Production_Benchmark)*(Ref_Volume_Benchmark/Ref_Volume),"")</f>
        <v>4279.3269230769229</v>
      </c>
      <c r="O22" s="256">
        <f>IF(M22&lt;&gt;"",IF(Facility_Production_NewTech&lt;&gt;"",N22*Ref_Volume/Facility_Production_NewTech,""),"")</f>
        <v>11.724183350895679</v>
      </c>
      <c r="P22" s="51"/>
      <c r="Q22" s="37"/>
      <c r="R22" s="37"/>
    </row>
    <row r="23" spans="1:18" ht="17" customHeight="1" x14ac:dyDescent="0.2">
      <c r="A23" s="37"/>
      <c r="B23" s="646"/>
      <c r="C23" s="647"/>
      <c r="D23" s="647"/>
      <c r="E23" s="76" t="s">
        <v>543</v>
      </c>
      <c r="F23" s="239">
        <f>SUM(F22)</f>
        <v>1240.3846153846155</v>
      </c>
      <c r="G23" s="257">
        <f>SUM(G22)</f>
        <v>3.3983140147523709</v>
      </c>
      <c r="H23" s="647"/>
      <c r="I23" s="647"/>
      <c r="J23" s="647"/>
      <c r="K23" s="647"/>
      <c r="L23" s="76" t="s">
        <v>543</v>
      </c>
      <c r="M23" s="239">
        <f>SUM(M22)</f>
        <v>4279.3269230769229</v>
      </c>
      <c r="N23" s="239">
        <f>SUM(N22)</f>
        <v>4279.3269230769229</v>
      </c>
      <c r="O23" s="257">
        <f>SUM(O22)</f>
        <v>11.724183350895679</v>
      </c>
      <c r="P23" s="51"/>
      <c r="Q23" s="37"/>
      <c r="R23" s="37"/>
    </row>
    <row r="24" spans="1:18" ht="9.5" customHeight="1" x14ac:dyDescent="0.2">
      <c r="A24" s="5"/>
      <c r="B24" s="646"/>
      <c r="C24" s="647"/>
      <c r="D24" s="647"/>
      <c r="E24" s="123"/>
      <c r="F24" s="113" t="s">
        <v>508</v>
      </c>
      <c r="G24" s="113" t="s">
        <v>508</v>
      </c>
      <c r="H24" s="647"/>
      <c r="I24" s="647"/>
      <c r="J24" s="647"/>
      <c r="K24" s="647"/>
      <c r="L24" s="123"/>
      <c r="M24" s="113" t="s">
        <v>508</v>
      </c>
      <c r="N24" s="113" t="s">
        <v>508</v>
      </c>
      <c r="O24" s="113" t="s">
        <v>508</v>
      </c>
      <c r="P24" s="6"/>
    </row>
    <row r="25" spans="1:18" ht="12" customHeight="1" x14ac:dyDescent="0.2">
      <c r="A25" s="5"/>
      <c r="B25" s="646"/>
      <c r="C25" s="647"/>
      <c r="D25" s="647"/>
      <c r="E25" s="647"/>
      <c r="F25" s="113" t="str">
        <f>TEXT(Facility_Production_NewTech,"#,##0")&amp;" "&amp;Ref_Volume_Unit</f>
        <v>730 Million Gallons</v>
      </c>
      <c r="G25" s="113" t="str">
        <f>TEXT(Ref_Volume,"#,##0")&amp;" "&amp;Ref_Volume_Unit</f>
        <v>2 Million Gallons</v>
      </c>
      <c r="H25" s="647"/>
      <c r="I25" s="647"/>
      <c r="J25" s="647"/>
      <c r="K25" s="647"/>
      <c r="L25" s="647"/>
      <c r="M25" s="113" t="str">
        <f>TEXT(Facility_Production_Benchmark,"#,##0")&amp;" "&amp;Ref_Volume_Unit</f>
        <v>730 Million Gallons</v>
      </c>
      <c r="N25" s="113" t="str">
        <f>TEXT(Facility_Production_NewTech*Ref_Volume_Benchmark/Ref_Volume,"#,##0")&amp;" "&amp;Ref_Volume_Unit</f>
        <v>730 Million Gallons</v>
      </c>
      <c r="O25" s="113" t="str">
        <f>TEXT(Ref_Volume_Benchmark,"#,##0")&amp;" "&amp;Ref_Volume_Unit</f>
        <v>2 Million Gallons</v>
      </c>
      <c r="P25" s="6"/>
    </row>
    <row r="26" spans="1:18" ht="36" x14ac:dyDescent="0.2">
      <c r="A26" s="5"/>
      <c r="B26" s="646"/>
      <c r="C26" s="647"/>
      <c r="D26" s="647"/>
      <c r="E26" s="647"/>
      <c r="F26" s="206" t="s">
        <v>509</v>
      </c>
      <c r="G26" s="206" t="s">
        <v>510</v>
      </c>
      <c r="H26" s="647"/>
      <c r="I26" s="647"/>
      <c r="J26" s="647"/>
      <c r="K26" s="647"/>
      <c r="L26" s="647"/>
      <c r="M26" s="206" t="s">
        <v>509</v>
      </c>
      <c r="N26" s="206" t="s">
        <v>511</v>
      </c>
      <c r="O26" s="206" t="s">
        <v>510</v>
      </c>
      <c r="P26" s="6"/>
    </row>
    <row r="27" spans="1:18" ht="18" x14ac:dyDescent="0.2">
      <c r="A27" s="5"/>
      <c r="B27" s="121"/>
      <c r="C27" s="9"/>
      <c r="D27" s="9"/>
      <c r="E27" s="89"/>
      <c r="F27" s="9"/>
      <c r="G27" s="9"/>
      <c r="H27" s="39"/>
      <c r="I27" s="122"/>
      <c r="J27" s="9"/>
      <c r="K27" s="9"/>
      <c r="L27" s="9"/>
      <c r="M27" s="9"/>
      <c r="N27" s="9"/>
      <c r="O27" s="9"/>
      <c r="P27" s="118"/>
    </row>
    <row r="28" spans="1:18" ht="18" x14ac:dyDescent="0.2">
      <c r="A28" s="5"/>
      <c r="B28" s="1163" t="s">
        <v>544</v>
      </c>
      <c r="C28" s="1165"/>
      <c r="D28" s="1165"/>
      <c r="E28" s="1165"/>
      <c r="F28" s="1165"/>
      <c r="G28" s="1165"/>
      <c r="H28" s="1165"/>
      <c r="I28" s="1165"/>
      <c r="J28" s="1165"/>
      <c r="K28" s="1165"/>
      <c r="L28" s="1165"/>
      <c r="M28" s="1165"/>
      <c r="N28" s="597"/>
      <c r="O28" s="21"/>
      <c r="P28" s="6"/>
    </row>
    <row r="29" spans="1:18" ht="17" customHeight="1" x14ac:dyDescent="0.2">
      <c r="A29" s="5"/>
      <c r="B29" s="1188" t="s">
        <v>545</v>
      </c>
      <c r="C29" s="1189"/>
      <c r="D29" s="1189"/>
      <c r="E29" s="1189"/>
      <c r="F29" s="1189"/>
      <c r="G29" s="1189"/>
      <c r="H29" s="1189"/>
      <c r="I29" s="1189"/>
      <c r="J29" s="1189"/>
      <c r="K29" s="1189"/>
      <c r="L29" s="1189"/>
      <c r="M29" s="597"/>
      <c r="N29" s="597"/>
      <c r="O29" s="21"/>
      <c r="P29" s="6"/>
    </row>
    <row r="30" spans="1:18" s="37" customFormat="1" ht="15" customHeight="1" x14ac:dyDescent="0.15">
      <c r="B30" s="646"/>
      <c r="C30" s="647"/>
      <c r="D30" s="647"/>
      <c r="E30" s="647"/>
      <c r="F30" s="647"/>
      <c r="G30" s="647"/>
      <c r="H30" s="148"/>
      <c r="I30" s="148"/>
      <c r="J30" s="148"/>
      <c r="K30" s="148"/>
      <c r="L30" s="148"/>
      <c r="M30" s="148"/>
      <c r="N30" s="148"/>
      <c r="O30" s="21"/>
      <c r="P30" s="51"/>
    </row>
    <row r="31" spans="1:18" s="37" customFormat="1" ht="15" customHeight="1" x14ac:dyDescent="0.15">
      <c r="B31" s="669" t="s">
        <v>180</v>
      </c>
      <c r="C31" s="21"/>
      <c r="D31" s="21"/>
      <c r="E31" s="482"/>
      <c r="F31" s="21"/>
      <c r="G31" s="21"/>
      <c r="H31" s="148"/>
      <c r="I31" s="629" t="s">
        <v>183</v>
      </c>
      <c r="J31" s="21"/>
      <c r="K31" s="21"/>
      <c r="L31" s="482"/>
      <c r="M31" s="21"/>
      <c r="N31" s="21"/>
      <c r="O31" s="21"/>
      <c r="P31" s="51"/>
    </row>
    <row r="32" spans="1:18" s="37" customFormat="1" ht="56" x14ac:dyDescent="0.15">
      <c r="B32" s="54" t="s">
        <v>546</v>
      </c>
      <c r="C32" s="54" t="s">
        <v>547</v>
      </c>
      <c r="D32" s="54" t="s">
        <v>187</v>
      </c>
      <c r="E32" s="54" t="s">
        <v>548</v>
      </c>
      <c r="F32" s="54" t="s">
        <v>549</v>
      </c>
      <c r="G32" s="54" t="s">
        <v>550</v>
      </c>
      <c r="H32" s="148"/>
      <c r="I32" s="54" t="s">
        <v>546</v>
      </c>
      <c r="J32" s="54" t="s">
        <v>547</v>
      </c>
      <c r="K32" s="54" t="s">
        <v>187</v>
      </c>
      <c r="L32" s="54" t="s">
        <v>548</v>
      </c>
      <c r="M32" s="54" t="s">
        <v>549</v>
      </c>
      <c r="N32" s="54" t="s">
        <v>551</v>
      </c>
      <c r="O32" s="54" t="s">
        <v>550</v>
      </c>
      <c r="P32" s="51"/>
    </row>
    <row r="33" spans="1:16" s="37" customFormat="1" ht="28" x14ac:dyDescent="0.15">
      <c r="B33" s="119" t="str">
        <f>IF('Raw Materials'!B18&lt;&gt;"",'Raw Materials'!B18,"")</f>
        <v>Lubrication</v>
      </c>
      <c r="C33" s="119">
        <f>IF('Raw Materials'!C18&lt;&gt;"",'Raw Materials'!C18,"")</f>
        <v>2.34</v>
      </c>
      <c r="D33" s="119" t="str">
        <f>IF('Raw Materials'!D18&lt;&gt;"",'Raw Materials'!D18,"")</f>
        <v>kg</v>
      </c>
      <c r="E33" s="259">
        <f>IF('Raw Materials'!G18&lt;&gt;"",'Raw Materials'!G18,"")</f>
        <v>6</v>
      </c>
      <c r="F33" s="239">
        <f>IF(G33&lt;&gt;"",IF(Ref_Volume&gt;0,G33*Facility_Production_NewTech/Ref_Volume,""),"")</f>
        <v>5124.5999999999995</v>
      </c>
      <c r="G33" s="257">
        <f>IF('Raw Materials'!J18&lt;&gt;"",'Raw Materials'!J18,"")</f>
        <v>14.04</v>
      </c>
      <c r="H33" s="68"/>
      <c r="I33" s="119" t="str">
        <f>IF('Raw Materials'!L18&lt;&gt;"",'Raw Materials'!L18,"")</f>
        <v>City water supply to evaporative condensers</v>
      </c>
      <c r="J33" s="119">
        <f>IF('Raw Materials'!M18&lt;&gt;"",'Raw Materials'!M18,"")</f>
        <v>17010.309278350516</v>
      </c>
      <c r="K33" s="119" t="str">
        <f>IF('Raw Materials'!N18&lt;&gt;"",'Raw Materials'!N18,"")</f>
        <v>gallons</v>
      </c>
      <c r="L33" s="947">
        <f>IF('Raw Materials'!Q18&lt;&gt;"",'Raw Materials'!Q18,"")</f>
        <v>2E-3</v>
      </c>
      <c r="M33" s="261">
        <f t="shared" ref="M33:M41" si="0">IF(O33&lt;&gt;"",O33*Facility_Production_Benchmark/Ref_Volume_Benchmark,"")</f>
        <v>12417.525773195875</v>
      </c>
      <c r="N33" s="258">
        <f>IF(M33&lt;&gt;"",M33*(Facility_Production_NewTech/Facility_Production_Benchmark)*(Ref_Volume_Benchmark/Ref_Volume),"")</f>
        <v>12417.525773195875</v>
      </c>
      <c r="O33" s="257">
        <f>IF('Raw Materials'!T18&lt;&gt;"",'Raw Materials'!T18,"")</f>
        <v>34.020618556701031</v>
      </c>
      <c r="P33" s="51"/>
    </row>
    <row r="34" spans="1:16" s="37" customFormat="1" ht="28" x14ac:dyDescent="0.15">
      <c r="B34" s="119" t="str">
        <f>IF('Raw Materials'!B19&lt;&gt;"",'Raw Materials'!B19,"")</f>
        <v>Copper</v>
      </c>
      <c r="C34" s="119">
        <f>IF('Raw Materials'!C19&lt;&gt;"",'Raw Materials'!C19,"")</f>
        <v>0.36730356164383565</v>
      </c>
      <c r="D34" s="119" t="str">
        <f>IF('Raw Materials'!D19&lt;&gt;"",'Raw Materials'!D19,"")</f>
        <v>kg</v>
      </c>
      <c r="E34" s="259" t="str">
        <f>IF('Raw Materials'!G19&lt;&gt;"",'Raw Materials'!G19,"")</f>
        <v/>
      </c>
      <c r="F34" s="239">
        <f t="shared" ref="F34:F41" si="1">IF(G34&lt;&gt;"",IF(Ref_Volume&gt;0,G34*Facility_Production_NewTech/Ref_Volume,""),"")</f>
        <v>0</v>
      </c>
      <c r="G34" s="257">
        <f>IF('Raw Materials'!J19&lt;&gt;"",'Raw Materials'!J19,"")</f>
        <v>0</v>
      </c>
      <c r="H34" s="68"/>
      <c r="I34" s="119" t="str">
        <f>IF('Raw Materials'!L19&lt;&gt;"",'Raw Materials'!L19,"")</f>
        <v>Biocide chemical additon to cooling loop for micro mitigation</v>
      </c>
      <c r="J34" s="119">
        <f>IF('Raw Materials'!M19&lt;&gt;"",'Raw Materials'!M19,"")</f>
        <v>3.3223260309278353</v>
      </c>
      <c r="K34" s="119" t="str">
        <f>IF('Raw Materials'!N19&lt;&gt;"",'Raw Materials'!N19,"")</f>
        <v>gallons</v>
      </c>
      <c r="L34" s="120">
        <f>IF('Raw Materials'!Q19&lt;&gt;"",'Raw Materials'!Q19,"")</f>
        <v>19.09090909090909</v>
      </c>
      <c r="M34" s="261">
        <f t="shared" si="0"/>
        <v>23150.571842783505</v>
      </c>
      <c r="N34" s="258">
        <f t="shared" ref="N34:N41" si="2">IF(M34&lt;&gt;"",M34*(Facility_Production_NewTech/Facility_Production_Benchmark)*(Ref_Volume_Benchmark/Ref_Volume),"")</f>
        <v>23150.571842783505</v>
      </c>
      <c r="O34" s="257">
        <f>IF('Raw Materials'!T19&lt;&gt;"",'Raw Materials'!T19,"")</f>
        <v>63.426224226804123</v>
      </c>
      <c r="P34" s="51"/>
    </row>
    <row r="35" spans="1:16" s="37" customFormat="1" ht="14" x14ac:dyDescent="0.15">
      <c r="B35" s="119" t="str">
        <f>IF('Raw Materials'!B20&lt;&gt;"",'Raw Materials'!B20,"")</f>
        <v>Elastomer</v>
      </c>
      <c r="C35" s="119">
        <f>IF('Raw Materials'!C20&lt;&gt;"",'Raw Materials'!C20,"")</f>
        <v>0.16056986301369863</v>
      </c>
      <c r="D35" s="119" t="str">
        <f>IF('Raw Materials'!D20&lt;&gt;"",'Raw Materials'!D20,"")</f>
        <v>kg</v>
      </c>
      <c r="E35" s="259" t="str">
        <f>IF('Raw Materials'!G20&lt;&gt;"",'Raw Materials'!G20,"")</f>
        <v/>
      </c>
      <c r="F35" s="239">
        <f t="shared" si="1"/>
        <v>0</v>
      </c>
      <c r="G35" s="257">
        <f>IF('Raw Materials'!J20&lt;&gt;"",'Raw Materials'!J20,"")</f>
        <v>0</v>
      </c>
      <c r="H35" s="68"/>
      <c r="I35" s="119" t="str">
        <f>IF('Raw Materials'!L20&lt;&gt;"",'Raw Materials'!L20,"")</f>
        <v>Steel low Alloy</v>
      </c>
      <c r="J35" s="119">
        <f>IF('Raw Materials'!M20&lt;&gt;"",'Raw Materials'!M20,"")</f>
        <v>0.31749784111686646</v>
      </c>
      <c r="K35" s="119" t="str">
        <f>IF('Raw Materials'!N20&lt;&gt;"",'Raw Materials'!N20,"")</f>
        <v>kg</v>
      </c>
      <c r="L35" s="120" t="str">
        <f>IF('Raw Materials'!Q20&lt;&gt;"",'Raw Materials'!Q20,"")</f>
        <v/>
      </c>
      <c r="M35" s="261">
        <f t="shared" si="0"/>
        <v>0</v>
      </c>
      <c r="N35" s="258">
        <f t="shared" si="2"/>
        <v>0</v>
      </c>
      <c r="O35" s="257">
        <f>IF('Raw Materials'!T20&lt;&gt;"",'Raw Materials'!T20,"")</f>
        <v>0</v>
      </c>
      <c r="P35" s="51"/>
    </row>
    <row r="36" spans="1:16" s="37" customFormat="1" ht="14" x14ac:dyDescent="0.15">
      <c r="B36" s="119" t="str">
        <f>IF('Raw Materials'!B21&lt;&gt;"",'Raw Materials'!B21,"")</f>
        <v>HDPE</v>
      </c>
      <c r="C36" s="119">
        <f>IF('Raw Materials'!C21&lt;&gt;"",'Raw Materials'!C21,"")</f>
        <v>5.0178082191780823E-3</v>
      </c>
      <c r="D36" s="119" t="str">
        <f>IF('Raw Materials'!D21&lt;&gt;"",'Raw Materials'!D21,"")</f>
        <v>kg</v>
      </c>
      <c r="E36" s="259" t="str">
        <f>IF('Raw Materials'!G21&lt;&gt;"",'Raw Materials'!G21,"")</f>
        <v/>
      </c>
      <c r="F36" s="239">
        <f t="shared" si="1"/>
        <v>0</v>
      </c>
      <c r="G36" s="257">
        <f>IF('Raw Materials'!J21&lt;&gt;"",'Raw Materials'!J21,"")</f>
        <v>0</v>
      </c>
      <c r="H36" s="68"/>
      <c r="I36" s="119" t="str">
        <f>IF('Raw Materials'!L21&lt;&gt;"",'Raw Materials'!L21,"")</f>
        <v>Stainless Steel</v>
      </c>
      <c r="J36" s="119">
        <f>IF('Raw Materials'!M21&lt;&gt;"",'Raw Materials'!M21,"")</f>
        <v>0.34946466844392127</v>
      </c>
      <c r="K36" s="119" t="str">
        <f>IF('Raw Materials'!N21&lt;&gt;"",'Raw Materials'!N21,"")</f>
        <v>kg</v>
      </c>
      <c r="L36" s="120" t="str">
        <f>IF('Raw Materials'!Q21&lt;&gt;"",'Raw Materials'!Q21,"")</f>
        <v/>
      </c>
      <c r="M36" s="261">
        <f t="shared" si="0"/>
        <v>0</v>
      </c>
      <c r="N36" s="258">
        <f t="shared" si="2"/>
        <v>0</v>
      </c>
      <c r="O36" s="257">
        <f>IF('Raw Materials'!T21&lt;&gt;"",'Raw Materials'!T21,"")</f>
        <v>0</v>
      </c>
      <c r="P36" s="51"/>
    </row>
    <row r="37" spans="1:16" s="37" customFormat="1" ht="14" x14ac:dyDescent="0.15">
      <c r="B37" s="119" t="str">
        <f>IF('Raw Materials'!B22&lt;&gt;"",'Raw Materials'!B22,"")</f>
        <v>Low alloyed steel</v>
      </c>
      <c r="C37" s="119">
        <f>IF('Raw Materials'!C22&lt;&gt;"",'Raw Materials'!C22,"")</f>
        <v>0.32113972602739727</v>
      </c>
      <c r="D37" s="119" t="str">
        <f>IF('Raw Materials'!D22&lt;&gt;"",'Raw Materials'!D22,"")</f>
        <v>kg</v>
      </c>
      <c r="E37" s="259" t="str">
        <f>IF('Raw Materials'!G22&lt;&gt;"",'Raw Materials'!G22,"")</f>
        <v/>
      </c>
      <c r="F37" s="239">
        <f t="shared" si="1"/>
        <v>0</v>
      </c>
      <c r="G37" s="257">
        <f>IF('Raw Materials'!J22&lt;&gt;"",'Raw Materials'!J22,"")</f>
        <v>0</v>
      </c>
      <c r="H37" s="68"/>
      <c r="I37" s="119" t="str">
        <f>IF('Raw Materials'!L22&lt;&gt;"",'Raw Materials'!L22,"")</f>
        <v>Aluminium</v>
      </c>
      <c r="J37" s="119">
        <f>IF('Raw Materials'!M22&lt;&gt;"",'Raw Materials'!M22,"")</f>
        <v>0.39875731544863013</v>
      </c>
      <c r="K37" s="119" t="str">
        <f>IF('Raw Materials'!N22&lt;&gt;"",'Raw Materials'!N22,"")</f>
        <v>kg</v>
      </c>
      <c r="L37" s="120" t="str">
        <f>IF('Raw Materials'!Q22&lt;&gt;"",'Raw Materials'!Q22,"")</f>
        <v/>
      </c>
      <c r="M37" s="261">
        <f t="shared" si="0"/>
        <v>0</v>
      </c>
      <c r="N37" s="258">
        <f t="shared" si="2"/>
        <v>0</v>
      </c>
      <c r="O37" s="257">
        <f>IF('Raw Materials'!T22&lt;&gt;"",'Raw Materials'!T22,"")</f>
        <v>0</v>
      </c>
      <c r="P37" s="51"/>
    </row>
    <row r="38" spans="1:16" s="37" customFormat="1" ht="14" x14ac:dyDescent="0.15">
      <c r="B38" s="119" t="str">
        <f>IF('Raw Materials'!B23&lt;&gt;"",'Raw Materials'!B23,"")</f>
        <v>Lubricating Oil (Manufacturing)</v>
      </c>
      <c r="C38" s="119">
        <f>IF('Raw Materials'!C23&lt;&gt;"",'Raw Materials'!C23,"")</f>
        <v>2.7096164383561647E-2</v>
      </c>
      <c r="D38" s="119" t="str">
        <f>IF('Raw Materials'!D23&lt;&gt;"",'Raw Materials'!D23,"")</f>
        <v>kg</v>
      </c>
      <c r="E38" s="259" t="str">
        <f>IF('Raw Materials'!G23&lt;&gt;"",'Raw Materials'!G23,"")</f>
        <v/>
      </c>
      <c r="F38" s="239">
        <f t="shared" si="1"/>
        <v>0</v>
      </c>
      <c r="G38" s="257">
        <f>IF('Raw Materials'!J23&lt;&gt;"",'Raw Materials'!J23,"")</f>
        <v>0</v>
      </c>
      <c r="H38" s="68"/>
      <c r="I38" s="119" t="str">
        <f>IF('Raw Materials'!L23&lt;&gt;"",'Raw Materials'!L23,"")</f>
        <v>Bricks</v>
      </c>
      <c r="J38" s="119">
        <f>IF('Raw Materials'!M23&lt;&gt;"",'Raw Materials'!M23,"")</f>
        <v>0.34626547654109596</v>
      </c>
      <c r="K38" s="119" t="str">
        <f>IF('Raw Materials'!N23&lt;&gt;"",'Raw Materials'!N23,"")</f>
        <v>Bricks</v>
      </c>
      <c r="L38" s="120" t="str">
        <f>IF('Raw Materials'!Q23&lt;&gt;"",'Raw Materials'!Q23,"")</f>
        <v/>
      </c>
      <c r="M38" s="261">
        <f t="shared" si="0"/>
        <v>0</v>
      </c>
      <c r="N38" s="258">
        <f t="shared" si="2"/>
        <v>0</v>
      </c>
      <c r="O38" s="257">
        <f>IF('Raw Materials'!T23&lt;&gt;"",'Raw Materials'!T23,"")</f>
        <v>0</v>
      </c>
      <c r="P38" s="51"/>
    </row>
    <row r="39" spans="1:16" s="37" customFormat="1" ht="14" x14ac:dyDescent="0.15">
      <c r="B39" s="119" t="str">
        <f>IF('Raw Materials'!B24&lt;&gt;"",'Raw Materials'!B24,"")</f>
        <v>PVC</v>
      </c>
      <c r="C39" s="119">
        <f>IF('Raw Materials'!C24&lt;&gt;"",'Raw Materials'!C24,"")</f>
        <v>1.6056986301369865E-2</v>
      </c>
      <c r="D39" s="119" t="str">
        <f>IF('Raw Materials'!D24&lt;&gt;"",'Raw Materials'!D24,"")</f>
        <v>kg</v>
      </c>
      <c r="E39" s="259" t="str">
        <f>IF('Raw Materials'!G24&lt;&gt;"",'Raw Materials'!G24,"")</f>
        <v/>
      </c>
      <c r="F39" s="239">
        <f t="shared" si="1"/>
        <v>0</v>
      </c>
      <c r="G39" s="257">
        <f>IF('Raw Materials'!J24&lt;&gt;"",'Raw Materials'!J24,"")</f>
        <v>0</v>
      </c>
      <c r="H39" s="68"/>
      <c r="I39" s="119" t="str">
        <f>IF('Raw Materials'!L24&lt;&gt;"",'Raw Materials'!L24,"")</f>
        <v>Methacrylate</v>
      </c>
      <c r="J39" s="119">
        <f>IF('Raw Materials'!M24&lt;&gt;"",'Raw Materials'!M24,"")</f>
        <v>0.28817818826626712</v>
      </c>
      <c r="K39" s="119" t="str">
        <f>IF('Raw Materials'!N24&lt;&gt;"",'Raw Materials'!N24,"")</f>
        <v>kg</v>
      </c>
      <c r="L39" s="120" t="str">
        <f>IF('Raw Materials'!Q24&lt;&gt;"",'Raw Materials'!Q24,"")</f>
        <v/>
      </c>
      <c r="M39" s="261">
        <f t="shared" si="0"/>
        <v>0</v>
      </c>
      <c r="N39" s="258">
        <f t="shared" si="2"/>
        <v>0</v>
      </c>
      <c r="O39" s="257">
        <f>IF('Raw Materials'!T24&lt;&gt;"",'Raw Materials'!T24,"")</f>
        <v>0</v>
      </c>
      <c r="P39" s="51"/>
    </row>
    <row r="40" spans="1:16" s="37" customFormat="1" ht="14" x14ac:dyDescent="0.15">
      <c r="B40" s="119" t="str">
        <f>IF('Raw Materials'!B25&lt;&gt;"",'Raw Materials'!B25,"")</f>
        <v>Reinforced Steel</v>
      </c>
      <c r="C40" s="119">
        <f>IF('Raw Materials'!C25&lt;&gt;"",'Raw Materials'!C25,"")</f>
        <v>1.3046301369863014</v>
      </c>
      <c r="D40" s="119" t="str">
        <f>IF('Raw Materials'!D25&lt;&gt;"",'Raw Materials'!D25,"")</f>
        <v>kg</v>
      </c>
      <c r="E40" s="259" t="str">
        <f>IF('Raw Materials'!G25&lt;&gt;"",'Raw Materials'!G25,"")</f>
        <v/>
      </c>
      <c r="F40" s="239">
        <f t="shared" si="1"/>
        <v>0</v>
      </c>
      <c r="G40" s="257">
        <f>IF('Raw Materials'!J25&lt;&gt;"",'Raw Materials'!J25,"")</f>
        <v>0</v>
      </c>
      <c r="H40" s="68"/>
      <c r="I40" s="119" t="str">
        <f>IF('Raw Materials'!L25&lt;&gt;"",'Raw Materials'!L25,"")</f>
        <v xml:space="preserve">Polyurethane </v>
      </c>
      <c r="J40" s="119">
        <f>IF('Raw Materials'!M25&lt;&gt;"",'Raw Materials'!M25,"")</f>
        <v>2.5744085429794519E-2</v>
      </c>
      <c r="K40" s="119" t="str">
        <f>IF('Raw Materials'!N25&lt;&gt;"",'Raw Materials'!N25,"")</f>
        <v>kg</v>
      </c>
      <c r="L40" s="120" t="str">
        <f>IF('Raw Materials'!Q25&lt;&gt;"",'Raw Materials'!Q25,"")</f>
        <v/>
      </c>
      <c r="M40" s="261">
        <f t="shared" si="0"/>
        <v>0</v>
      </c>
      <c r="N40" s="258">
        <f t="shared" si="2"/>
        <v>0</v>
      </c>
      <c r="O40" s="257">
        <f>IF('Raw Materials'!T25&lt;&gt;"",'Raw Materials'!T25,"")</f>
        <v>0</v>
      </c>
      <c r="P40" s="51"/>
    </row>
    <row r="41" spans="1:16" s="37" customFormat="1" ht="14" x14ac:dyDescent="0.15">
      <c r="B41" s="119" t="str">
        <f>IF('Raw Materials'!B26&lt;&gt;"",'Raw Materials'!B26,"")</f>
        <v/>
      </c>
      <c r="C41" s="119" t="str">
        <f>IF('Raw Materials'!C26&lt;&gt;"",'Raw Materials'!C26,"")</f>
        <v/>
      </c>
      <c r="D41" s="119" t="str">
        <f>IF('Raw Materials'!D26&lt;&gt;"",'Raw Materials'!D26,"")</f>
        <v/>
      </c>
      <c r="E41" s="259" t="str">
        <f>IF('Raw Materials'!G26&lt;&gt;"",'Raw Materials'!G26,"")</f>
        <v/>
      </c>
      <c r="F41" s="239" t="str">
        <f t="shared" si="1"/>
        <v/>
      </c>
      <c r="G41" s="257" t="str">
        <f>IF('Raw Materials'!J26&lt;&gt;"",'Raw Materials'!J26,"")</f>
        <v/>
      </c>
      <c r="H41" s="68"/>
      <c r="I41" s="119" t="str">
        <f>IF('Raw Materials'!L26&lt;&gt;"",'Raw Materials'!L26,"")</f>
        <v>PVC</v>
      </c>
      <c r="J41" s="119">
        <f>IF('Raw Materials'!M26&lt;&gt;"",'Raw Materials'!M26,"")</f>
        <v>0.49518472315496576</v>
      </c>
      <c r="K41" s="119" t="str">
        <f>IF('Raw Materials'!N26&lt;&gt;"",'Raw Materials'!N26,"")</f>
        <v>kg</v>
      </c>
      <c r="L41" s="120" t="str">
        <f>IF('Raw Materials'!Q26&lt;&gt;"",'Raw Materials'!Q26,"")</f>
        <v/>
      </c>
      <c r="M41" s="261">
        <f t="shared" si="0"/>
        <v>0</v>
      </c>
      <c r="N41" s="258">
        <f t="shared" si="2"/>
        <v>0</v>
      </c>
      <c r="O41" s="257">
        <f>IF('Raw Materials'!T26&lt;&gt;"",'Raw Materials'!T26,"")</f>
        <v>0</v>
      </c>
      <c r="P41" s="51"/>
    </row>
    <row r="42" spans="1:16" s="37" customFormat="1" ht="13" x14ac:dyDescent="0.15">
      <c r="B42" s="38"/>
      <c r="C42" s="483"/>
      <c r="D42" s="483"/>
      <c r="E42" s="76" t="s">
        <v>552</v>
      </c>
      <c r="F42" s="239">
        <f>SUM(F33:F41)</f>
        <v>5124.5999999999995</v>
      </c>
      <c r="G42" s="257">
        <f>SUM(G33:G41)</f>
        <v>14.04</v>
      </c>
      <c r="H42" s="148"/>
      <c r="I42" s="21"/>
      <c r="J42" s="483"/>
      <c r="K42" s="483"/>
      <c r="L42" s="76" t="s">
        <v>552</v>
      </c>
      <c r="M42" s="239">
        <f>SUM(M33:M41)</f>
        <v>35568.097615979379</v>
      </c>
      <c r="N42" s="239">
        <f>SUM(N33:N41)</f>
        <v>35568.097615979379</v>
      </c>
      <c r="O42" s="257">
        <f>SUM(O33:O41)</f>
        <v>97.446842783505161</v>
      </c>
      <c r="P42" s="51"/>
    </row>
    <row r="43" spans="1:16" ht="12" customHeight="1" x14ac:dyDescent="0.2">
      <c r="A43" s="5"/>
      <c r="B43" s="603"/>
      <c r="C43" s="597"/>
      <c r="D43" s="597"/>
      <c r="E43" s="597"/>
      <c r="F43" s="113" t="s">
        <v>508</v>
      </c>
      <c r="G43" s="113" t="s">
        <v>508</v>
      </c>
      <c r="H43" s="597"/>
      <c r="I43" s="597"/>
      <c r="J43" s="597"/>
      <c r="K43" s="597"/>
      <c r="L43" s="597"/>
      <c r="M43" s="113" t="s">
        <v>508</v>
      </c>
      <c r="N43" s="113" t="s">
        <v>508</v>
      </c>
      <c r="O43" s="113" t="s">
        <v>508</v>
      </c>
      <c r="P43" s="6"/>
    </row>
    <row r="44" spans="1:16" ht="12" customHeight="1" x14ac:dyDescent="0.2">
      <c r="A44" s="5"/>
      <c r="B44" s="603"/>
      <c r="C44" s="597"/>
      <c r="D44" s="597"/>
      <c r="E44" s="597"/>
      <c r="F44" s="113" t="str">
        <f>TEXT(Facility_Production_NewTech,"#,##0")&amp;" "&amp;Ref_Volume_Unit</f>
        <v>730 Million Gallons</v>
      </c>
      <c r="G44" s="113" t="str">
        <f>TEXT(Ref_Volume,"#,##0")&amp;" "&amp;Ref_Volume_Unit</f>
        <v>2 Million Gallons</v>
      </c>
      <c r="H44" s="597"/>
      <c r="I44" s="597"/>
      <c r="J44" s="597"/>
      <c r="K44" s="597"/>
      <c r="L44" s="597"/>
      <c r="M44" s="113" t="str">
        <f>TEXT(Facility_Production_Benchmark,"#,##0")&amp;" "&amp;Ref_Volume_Unit</f>
        <v>730 Million Gallons</v>
      </c>
      <c r="N44" s="113" t="str">
        <f>TEXT(Facility_Production_NewTech*Ref_Volume_Benchmark/Ref_Volume,"#,##0")&amp;" "&amp;Ref_Volume_Unit</f>
        <v>730 Million Gallons</v>
      </c>
      <c r="O44" s="113" t="str">
        <f>TEXT(Ref_Volume_Benchmark,"#,##0")&amp;" "&amp;Ref_Volume_Unit</f>
        <v>2 Million Gallons</v>
      </c>
      <c r="P44" s="6"/>
    </row>
    <row r="45" spans="1:16" ht="36" x14ac:dyDescent="0.2">
      <c r="A45" s="5"/>
      <c r="B45" s="603"/>
      <c r="C45" s="597"/>
      <c r="D45" s="597"/>
      <c r="E45" s="597"/>
      <c r="F45" s="206" t="s">
        <v>509</v>
      </c>
      <c r="G45" s="206" t="s">
        <v>510</v>
      </c>
      <c r="H45" s="597"/>
      <c r="I45" s="597"/>
      <c r="J45" s="597"/>
      <c r="K45" s="597"/>
      <c r="L45" s="597"/>
      <c r="M45" s="206" t="s">
        <v>509</v>
      </c>
      <c r="N45" s="206" t="s">
        <v>511</v>
      </c>
      <c r="O45" s="206" t="s">
        <v>510</v>
      </c>
      <c r="P45" s="6"/>
    </row>
    <row r="46" spans="1:16" ht="18" x14ac:dyDescent="0.2">
      <c r="A46" s="5"/>
      <c r="B46" s="55"/>
      <c r="C46" s="21"/>
      <c r="D46" s="21"/>
      <c r="E46" s="45"/>
      <c r="F46" s="21"/>
      <c r="G46" s="21"/>
      <c r="H46" s="597"/>
      <c r="I46" s="110"/>
      <c r="J46" s="21"/>
      <c r="K46" s="21"/>
      <c r="L46" s="21"/>
      <c r="M46" s="21"/>
      <c r="N46" s="21"/>
      <c r="O46" s="21"/>
      <c r="P46" s="6"/>
    </row>
    <row r="47" spans="1:16" ht="18" x14ac:dyDescent="0.2">
      <c r="A47" s="5"/>
      <c r="B47" s="1163" t="s">
        <v>553</v>
      </c>
      <c r="C47" s="1165"/>
      <c r="D47" s="1165"/>
      <c r="E47" s="1165"/>
      <c r="F47" s="1165"/>
      <c r="G47" s="1165"/>
      <c r="H47" s="1165"/>
      <c r="I47" s="1165"/>
      <c r="J47" s="1165"/>
      <c r="K47" s="1165"/>
      <c r="L47" s="1165"/>
      <c r="M47" s="1165"/>
      <c r="N47" s="644"/>
      <c r="O47" s="64"/>
      <c r="P47" s="648"/>
    </row>
    <row r="48" spans="1:16" ht="17" customHeight="1" x14ac:dyDescent="0.2">
      <c r="A48" s="5"/>
      <c r="B48" s="1188" t="s">
        <v>554</v>
      </c>
      <c r="C48" s="1189"/>
      <c r="D48" s="1189"/>
      <c r="E48" s="1189"/>
      <c r="F48" s="1189"/>
      <c r="G48" s="1189"/>
      <c r="H48" s="1189"/>
      <c r="I48" s="1189"/>
      <c r="J48" s="1189"/>
      <c r="K48" s="1189"/>
      <c r="L48" s="1189"/>
      <c r="M48" s="597"/>
      <c r="N48" s="597"/>
      <c r="O48" s="21"/>
      <c r="P48" s="6"/>
    </row>
    <row r="49" spans="1:19" ht="18" x14ac:dyDescent="0.2">
      <c r="A49" s="5"/>
      <c r="B49" s="646"/>
      <c r="C49" s="647"/>
      <c r="D49" s="647"/>
      <c r="E49" s="647"/>
      <c r="F49" s="647"/>
      <c r="G49" s="647"/>
      <c r="H49" s="647"/>
      <c r="I49" s="647"/>
      <c r="J49" s="597"/>
      <c r="K49" s="597"/>
      <c r="L49" s="597"/>
      <c r="M49" s="597"/>
      <c r="N49" s="597"/>
      <c r="O49" s="21"/>
      <c r="P49" s="6"/>
    </row>
    <row r="50" spans="1:19" x14ac:dyDescent="0.2">
      <c r="A50" s="5"/>
      <c r="B50" s="669" t="s">
        <v>555</v>
      </c>
      <c r="C50" s="21"/>
      <c r="D50" s="21"/>
      <c r="E50" s="647"/>
      <c r="F50" s="647"/>
      <c r="G50" s="647"/>
      <c r="H50" s="647"/>
      <c r="I50" s="629" t="s">
        <v>556</v>
      </c>
      <c r="J50" s="21"/>
      <c r="K50" s="21"/>
      <c r="L50" s="647"/>
      <c r="M50" s="647"/>
      <c r="N50" s="647"/>
      <c r="O50" s="647"/>
      <c r="P50" s="51"/>
      <c r="Q50" s="37"/>
    </row>
    <row r="51" spans="1:19" ht="71" x14ac:dyDescent="0.2">
      <c r="A51" s="37"/>
      <c r="B51" s="438" t="s">
        <v>403</v>
      </c>
      <c r="C51" s="54" t="s">
        <v>557</v>
      </c>
      <c r="D51" s="54" t="s">
        <v>187</v>
      </c>
      <c r="E51" s="54" t="s">
        <v>558</v>
      </c>
      <c r="F51" s="54" t="s">
        <v>559</v>
      </c>
      <c r="G51" s="21"/>
      <c r="H51" s="647"/>
      <c r="I51" s="438" t="s">
        <v>403</v>
      </c>
      <c r="J51" s="54" t="s">
        <v>557</v>
      </c>
      <c r="K51" s="54" t="s">
        <v>187</v>
      </c>
      <c r="L51" s="54" t="s">
        <v>558</v>
      </c>
      <c r="M51" s="54" t="s">
        <v>560</v>
      </c>
      <c r="N51" s="54" t="s">
        <v>559</v>
      </c>
      <c r="O51" s="21"/>
      <c r="P51" s="51"/>
      <c r="Q51" s="37"/>
      <c r="R51" s="50"/>
      <c r="S51" s="50"/>
    </row>
    <row r="52" spans="1:19" x14ac:dyDescent="0.2">
      <c r="A52" s="37"/>
      <c r="B52" s="438" t="s">
        <v>343</v>
      </c>
      <c r="C52" s="466">
        <f>'Manufacturing Energy'!D17</f>
        <v>4.8050531506849316E-3</v>
      </c>
      <c r="D52" s="54" t="s">
        <v>561</v>
      </c>
      <c r="E52" s="258">
        <f t="shared" ref="E52:E58" si="3">IF(F52&gt;0,F52*Facility_Production_NewTech/Ref_Volume,"")</f>
        <v>36.906807713950769</v>
      </c>
      <c r="F52" s="450">
        <f>SUM('Manufacturing Energy'!I17)</f>
        <v>0.1011145416820569</v>
      </c>
      <c r="G52" s="21"/>
      <c r="H52" s="647"/>
      <c r="I52" s="438" t="s">
        <v>343</v>
      </c>
      <c r="J52" s="466">
        <f>'Manufacturing Energy'!N17</f>
        <v>0.37120337606268483</v>
      </c>
      <c r="K52" s="54" t="s">
        <v>561</v>
      </c>
      <c r="L52" s="469">
        <f>IF(N52&gt;0,N52*Facility_Production_Benchmark/Ref_Volume_Benchmark,"")</f>
        <v>2851.150901663184</v>
      </c>
      <c r="M52" s="470">
        <f t="shared" ref="M52:M57" si="4">IF(L52&lt;&gt;"",L52*(Facility_Production_NewTech/Facility_Production_Benchmark)*(Ref_Volume_Benchmark/Ref_Volume),"")</f>
        <v>2851.150901663184</v>
      </c>
      <c r="N52" s="470">
        <f>SUM('Manufacturing Energy'!S17)</f>
        <v>7.8113723333237912</v>
      </c>
      <c r="O52" s="21"/>
      <c r="P52" s="51"/>
      <c r="Q52" s="37"/>
      <c r="R52" s="50"/>
      <c r="S52" s="50"/>
    </row>
    <row r="53" spans="1:19" x14ac:dyDescent="0.2">
      <c r="A53" s="37"/>
      <c r="B53" s="438" t="s">
        <v>344</v>
      </c>
      <c r="C53" s="466">
        <f>SUM('Manufacturing Energy'!D18:D23)</f>
        <v>1.3347369863013698E-2</v>
      </c>
      <c r="D53" s="54" t="s">
        <v>561</v>
      </c>
      <c r="E53" s="258" t="str">
        <f t="shared" si="3"/>
        <v/>
      </c>
      <c r="F53" s="450">
        <f>SUM('Manufacturing Energy'!I18)</f>
        <v>0</v>
      </c>
      <c r="G53" s="21"/>
      <c r="H53" s="647"/>
      <c r="I53" s="438" t="s">
        <v>344</v>
      </c>
      <c r="J53" s="466">
        <f>SUM('Manufacturing Energy'!N18:N23)</f>
        <v>1.3347369863013698E-2</v>
      </c>
      <c r="K53" s="54" t="s">
        <v>561</v>
      </c>
      <c r="L53" s="469" t="str">
        <f t="shared" ref="L53:L57" si="5">IF(N53&gt;0,N53*Facility_Production_Benchmark/Ref_Volume_Benchmark,"")</f>
        <v/>
      </c>
      <c r="M53" s="470" t="str">
        <f t="shared" si="4"/>
        <v/>
      </c>
      <c r="N53" s="470">
        <f>SUM('Manufacturing Energy'!S18)</f>
        <v>0</v>
      </c>
      <c r="O53" s="21"/>
      <c r="P53" s="51"/>
      <c r="Q53" s="37"/>
      <c r="R53" s="50"/>
      <c r="S53" s="50"/>
    </row>
    <row r="54" spans="1:19" x14ac:dyDescent="0.2">
      <c r="A54" s="37"/>
      <c r="B54" s="438" t="s">
        <v>346</v>
      </c>
      <c r="C54" s="466">
        <f>SUM('Manufacturing Energy'!D19:D23)</f>
        <v>1.3347369863013698E-2</v>
      </c>
      <c r="D54" s="54" t="s">
        <v>561</v>
      </c>
      <c r="E54" s="258" t="str">
        <f t="shared" si="3"/>
        <v/>
      </c>
      <c r="F54" s="450">
        <f>SUM('Manufacturing Energy'!I19)</f>
        <v>0</v>
      </c>
      <c r="G54" s="21"/>
      <c r="H54" s="647"/>
      <c r="I54" s="438" t="s">
        <v>346</v>
      </c>
      <c r="J54" s="466">
        <f>SUM('Manufacturing Energy'!N19:N23)</f>
        <v>1.3347369863013698E-2</v>
      </c>
      <c r="K54" s="54" t="s">
        <v>561</v>
      </c>
      <c r="L54" s="469" t="str">
        <f t="shared" si="5"/>
        <v/>
      </c>
      <c r="M54" s="470" t="str">
        <f t="shared" si="4"/>
        <v/>
      </c>
      <c r="N54" s="470">
        <f>SUM('Manufacturing Energy'!S19)</f>
        <v>0</v>
      </c>
      <c r="O54" s="21"/>
      <c r="P54" s="51"/>
      <c r="Q54" s="37"/>
      <c r="R54" s="50"/>
      <c r="S54" s="50"/>
    </row>
    <row r="55" spans="1:19" x14ac:dyDescent="0.2">
      <c r="A55" s="37"/>
      <c r="B55" s="438" t="s">
        <v>348</v>
      </c>
      <c r="C55" s="466">
        <f>SUM('Manufacturing Energy'!D20)</f>
        <v>1.3347369863013698E-2</v>
      </c>
      <c r="D55" s="54" t="s">
        <v>561</v>
      </c>
      <c r="E55" s="258">
        <f t="shared" si="3"/>
        <v>28.227310683349369</v>
      </c>
      <c r="F55" s="450">
        <f>SUM('Manufacturing Energy'!I20)</f>
        <v>7.7335097762601016E-2</v>
      </c>
      <c r="G55" s="21"/>
      <c r="H55" s="647"/>
      <c r="I55" s="438" t="s">
        <v>348</v>
      </c>
      <c r="J55" s="466">
        <f>SUM('Manufacturing Energy'!N20)</f>
        <v>1.3347369863013698E-2</v>
      </c>
      <c r="K55" s="54" t="s">
        <v>561</v>
      </c>
      <c r="L55" s="469">
        <f t="shared" si="5"/>
        <v>28.227310683349369</v>
      </c>
      <c r="M55" s="470">
        <f t="shared" si="4"/>
        <v>28.227310683349369</v>
      </c>
      <c r="N55" s="470">
        <f>SUM('Manufacturing Energy'!S20)</f>
        <v>7.7335097762601016E-2</v>
      </c>
      <c r="O55" s="21"/>
      <c r="P55" s="51"/>
      <c r="Q55" s="37"/>
      <c r="R55" s="50"/>
      <c r="S55" s="50"/>
    </row>
    <row r="56" spans="1:19" x14ac:dyDescent="0.2">
      <c r="A56" s="37"/>
      <c r="B56" s="438" t="s">
        <v>562</v>
      </c>
      <c r="C56" s="466">
        <f>SUM('Manufacturing Energy'!D21:D26)</f>
        <v>0</v>
      </c>
      <c r="D56" s="54" t="s">
        <v>561</v>
      </c>
      <c r="E56" s="258" t="str">
        <f t="shared" si="3"/>
        <v/>
      </c>
      <c r="F56" s="450">
        <f>SUM('Manufacturing Energy'!I21)</f>
        <v>0</v>
      </c>
      <c r="G56" s="21"/>
      <c r="H56" s="647"/>
      <c r="I56" s="438" t="s">
        <v>562</v>
      </c>
      <c r="J56" s="466">
        <f>SUM('Manufacturing Energy'!N21:N26)</f>
        <v>0</v>
      </c>
      <c r="K56" s="54" t="s">
        <v>561</v>
      </c>
      <c r="L56" s="469" t="str">
        <f t="shared" si="5"/>
        <v/>
      </c>
      <c r="M56" s="470" t="str">
        <f t="shared" si="4"/>
        <v/>
      </c>
      <c r="N56" s="470">
        <f>SUM('Manufacturing Energy'!S21)</f>
        <v>0</v>
      </c>
      <c r="O56" s="21"/>
      <c r="P56" s="51"/>
      <c r="Q56" s="37"/>
      <c r="R56" s="50"/>
      <c r="S56" s="50"/>
    </row>
    <row r="57" spans="1:19" x14ac:dyDescent="0.2">
      <c r="A57" s="37"/>
      <c r="B57" s="438" t="s">
        <v>351</v>
      </c>
      <c r="C57" s="466">
        <f>SUM('Manufacturing Energy'!D22)</f>
        <v>0</v>
      </c>
      <c r="D57" s="54" t="s">
        <v>561</v>
      </c>
      <c r="E57" s="258" t="str">
        <f t="shared" si="3"/>
        <v/>
      </c>
      <c r="F57" s="450">
        <f>SUM('Manufacturing Energy'!I22)</f>
        <v>0</v>
      </c>
      <c r="G57" s="21"/>
      <c r="H57" s="647"/>
      <c r="I57" s="438" t="s">
        <v>351</v>
      </c>
      <c r="J57" s="466">
        <f>SUM('Manufacturing Energy'!N22)</f>
        <v>0</v>
      </c>
      <c r="K57" s="54" t="s">
        <v>561</v>
      </c>
      <c r="L57" s="469" t="str">
        <f t="shared" si="5"/>
        <v/>
      </c>
      <c r="M57" s="470" t="str">
        <f t="shared" si="4"/>
        <v/>
      </c>
      <c r="N57" s="470">
        <f>SUM('Manufacturing Energy'!S22)</f>
        <v>0</v>
      </c>
      <c r="O57" s="21"/>
      <c r="P57" s="51"/>
      <c r="Q57" s="37"/>
      <c r="R57" s="50"/>
      <c r="S57" s="50"/>
    </row>
    <row r="58" spans="1:19" x14ac:dyDescent="0.2">
      <c r="A58" s="37"/>
      <c r="B58" s="438" t="s">
        <v>563</v>
      </c>
      <c r="C58" s="466">
        <f>SUM('Manufacturing Energy'!D23:D25)</f>
        <v>0</v>
      </c>
      <c r="D58" s="54" t="s">
        <v>561</v>
      </c>
      <c r="E58" s="258" t="str">
        <f t="shared" si="3"/>
        <v/>
      </c>
      <c r="F58" s="450">
        <f>SUM('Manufacturing Energy'!I23:I25)</f>
        <v>0</v>
      </c>
      <c r="G58" s="21"/>
      <c r="H58" s="647"/>
      <c r="I58" s="438" t="s">
        <v>563</v>
      </c>
      <c r="J58" s="466">
        <f>SUM('Manufacturing Energy'!K23)</f>
        <v>0</v>
      </c>
      <c r="K58" s="54" t="s">
        <v>561</v>
      </c>
      <c r="L58" s="469" t="str">
        <f t="shared" ref="L58" si="6">IF(N58&gt;0,N58*Facility_Production_Benchmark/Ref_Volume_Benchmark,"")</f>
        <v/>
      </c>
      <c r="M58" s="470" t="str">
        <f t="shared" ref="M58" si="7">IF(L58&lt;&gt;"",L58*(Facility_Production_NewTech/Facility_Production_Benchmark)*(Ref_Volume_Benchmark/Ref_Volume),"")</f>
        <v/>
      </c>
      <c r="N58" s="470">
        <f>SUM('Manufacturing Energy'!S22:S25)</f>
        <v>0</v>
      </c>
      <c r="O58" s="21"/>
      <c r="P58" s="51"/>
      <c r="Q58" s="37"/>
      <c r="R58" s="50"/>
      <c r="S58" s="50"/>
    </row>
    <row r="59" spans="1:19" x14ac:dyDescent="0.2">
      <c r="A59" s="37"/>
      <c r="B59" s="481"/>
      <c r="C59" s="21"/>
      <c r="D59" s="123" t="s">
        <v>564</v>
      </c>
      <c r="E59" s="239">
        <f>SUM(E52:E57)</f>
        <v>65.134118397300142</v>
      </c>
      <c r="F59" s="257">
        <f>SUM(F52:F57)</f>
        <v>0.17844963944465791</v>
      </c>
      <c r="G59" s="21"/>
      <c r="H59" s="647"/>
      <c r="I59" s="467"/>
      <c r="J59" s="21"/>
      <c r="K59" s="123" t="s">
        <v>564</v>
      </c>
      <c r="L59" s="471">
        <f>SUM(L52:L57)</f>
        <v>2879.3782123465335</v>
      </c>
      <c r="M59" s="260">
        <f>SUM(M52:M57)</f>
        <v>2879.3782123465335</v>
      </c>
      <c r="N59" s="260">
        <f>SUM(N52:N57)</f>
        <v>7.8887074310863925</v>
      </c>
      <c r="O59" s="21"/>
      <c r="P59" s="51"/>
      <c r="Q59" s="37"/>
      <c r="R59" s="50"/>
      <c r="S59" s="50"/>
    </row>
    <row r="60" spans="1:19" x14ac:dyDescent="0.2">
      <c r="A60" s="37"/>
      <c r="B60" s="481"/>
      <c r="C60" s="468"/>
      <c r="D60" s="57"/>
      <c r="E60" s="443" t="s">
        <v>508</v>
      </c>
      <c r="F60" s="443" t="s">
        <v>508</v>
      </c>
      <c r="G60" s="45"/>
      <c r="H60" s="647"/>
      <c r="I60" s="467"/>
      <c r="J60" s="468"/>
      <c r="K60" s="57"/>
      <c r="L60" s="443" t="s">
        <v>508</v>
      </c>
      <c r="M60" s="443" t="s">
        <v>508</v>
      </c>
      <c r="N60" s="443" t="s">
        <v>508</v>
      </c>
      <c r="O60" s="57"/>
      <c r="P60" s="51"/>
      <c r="Q60" s="50"/>
      <c r="R60" s="50"/>
      <c r="S60" s="50"/>
    </row>
    <row r="61" spans="1:19" x14ac:dyDescent="0.2">
      <c r="A61" s="37"/>
      <c r="B61" s="481"/>
      <c r="C61" s="468"/>
      <c r="D61" s="57"/>
      <c r="E61" s="113" t="str">
        <f>TEXT(Facility_Production_NewTech,"#,##0")&amp;" "&amp;Ref_Volume_Unit</f>
        <v>730 Million Gallons</v>
      </c>
      <c r="F61" s="113" t="str">
        <f>TEXT(Ref_Volume,"#,##0")&amp;" "&amp;Ref_Volume_Unit</f>
        <v>2 Million Gallons</v>
      </c>
      <c r="G61" s="45"/>
      <c r="H61" s="647"/>
      <c r="I61" s="467"/>
      <c r="J61" s="468"/>
      <c r="K61" s="57"/>
      <c r="L61" s="113" t="str">
        <f>TEXT(Facility_Production_Benchmark,"#,##0")&amp;" "&amp;Ref_Volume_Unit</f>
        <v>730 Million Gallons</v>
      </c>
      <c r="M61" s="113" t="str">
        <f>TEXT(Facility_Production_NewTech*Ref_Volume_Benchmark/Ref_Volume,"#,##0")&amp;" "&amp;Ref_Volume_Unit</f>
        <v>730 Million Gallons</v>
      </c>
      <c r="N61" s="113" t="str">
        <f>TEXT(Ref_Volume_Benchmark,"#,##0")&amp;" "&amp;Ref_Volume_Unit</f>
        <v>2 Million Gallons</v>
      </c>
      <c r="O61" s="57"/>
      <c r="P61" s="51"/>
      <c r="Q61" s="50"/>
      <c r="R61" s="50"/>
      <c r="S61" s="50"/>
    </row>
    <row r="62" spans="1:19" ht="36" x14ac:dyDescent="0.2">
      <c r="A62" s="37"/>
      <c r="B62" s="481"/>
      <c r="C62" s="57"/>
      <c r="D62" s="57"/>
      <c r="E62" s="206" t="s">
        <v>509</v>
      </c>
      <c r="F62" s="206" t="s">
        <v>510</v>
      </c>
      <c r="G62" s="45"/>
      <c r="H62" s="647"/>
      <c r="I62" s="467"/>
      <c r="J62" s="57"/>
      <c r="K62" s="57"/>
      <c r="L62" s="206" t="s">
        <v>509</v>
      </c>
      <c r="M62" s="206" t="s">
        <v>511</v>
      </c>
      <c r="N62" s="206" t="s">
        <v>510</v>
      </c>
      <c r="O62" s="57"/>
      <c r="P62" s="51"/>
      <c r="Q62" s="50"/>
      <c r="R62" s="50"/>
      <c r="S62" s="50"/>
    </row>
    <row r="63" spans="1:19" ht="12" customHeight="1" x14ac:dyDescent="0.2">
      <c r="A63" s="5"/>
      <c r="B63" s="28"/>
      <c r="C63" s="127"/>
      <c r="D63" s="127"/>
      <c r="E63" s="127"/>
      <c r="F63" s="128"/>
      <c r="G63" s="128"/>
      <c r="H63" s="127"/>
      <c r="I63" s="127"/>
      <c r="J63" s="127"/>
      <c r="K63" s="127"/>
      <c r="L63" s="127"/>
      <c r="M63" s="128"/>
      <c r="N63" s="128"/>
      <c r="O63" s="128"/>
      <c r="P63" s="118"/>
    </row>
    <row r="64" spans="1:19" ht="18" x14ac:dyDescent="0.2">
      <c r="A64" s="5"/>
      <c r="B64" s="1163" t="s">
        <v>565</v>
      </c>
      <c r="C64" s="1165"/>
      <c r="D64" s="1165"/>
      <c r="E64" s="1165"/>
      <c r="F64" s="1165"/>
      <c r="G64" s="1165"/>
      <c r="H64" s="1165"/>
      <c r="I64" s="1165"/>
      <c r="J64" s="1165"/>
      <c r="K64" s="1165"/>
      <c r="L64" s="1165"/>
      <c r="M64" s="1165"/>
      <c r="N64" s="644"/>
      <c r="O64" s="64"/>
      <c r="P64" s="648"/>
    </row>
    <row r="65" spans="1:19" ht="87" customHeight="1" x14ac:dyDescent="0.2">
      <c r="A65" s="5"/>
      <c r="B65" s="1188" t="s">
        <v>566</v>
      </c>
      <c r="C65" s="1189"/>
      <c r="D65" s="1189"/>
      <c r="E65" s="1189"/>
      <c r="F65" s="1189"/>
      <c r="G65" s="1189"/>
      <c r="H65" s="1189"/>
      <c r="I65" s="1189"/>
      <c r="J65" s="1189"/>
      <c r="K65" s="1189"/>
      <c r="L65" s="1189"/>
      <c r="M65" s="1189"/>
      <c r="N65" s="597"/>
      <c r="O65" s="21"/>
      <c r="P65" s="6"/>
    </row>
    <row r="66" spans="1:19" ht="18" x14ac:dyDescent="0.2">
      <c r="B66" s="646"/>
      <c r="C66" s="647"/>
      <c r="D66" s="647"/>
      <c r="E66" s="647"/>
      <c r="F66" s="647"/>
      <c r="G66" s="647"/>
      <c r="H66" s="647"/>
      <c r="I66" s="647"/>
      <c r="J66" s="647"/>
      <c r="K66" s="647"/>
      <c r="L66" s="597"/>
      <c r="M66" s="597"/>
      <c r="N66" s="597"/>
      <c r="O66" s="21"/>
      <c r="P66" s="6"/>
    </row>
    <row r="67" spans="1:19" x14ac:dyDescent="0.2">
      <c r="A67" s="37"/>
      <c r="B67" s="669" t="s">
        <v>567</v>
      </c>
      <c r="C67" s="21"/>
      <c r="D67" s="21"/>
      <c r="E67" s="647"/>
      <c r="F67" s="647"/>
      <c r="G67" s="647"/>
      <c r="H67" s="647"/>
      <c r="I67" s="629" t="s">
        <v>568</v>
      </c>
      <c r="J67" s="21"/>
      <c r="K67" s="21"/>
      <c r="L67" s="647"/>
      <c r="M67" s="647"/>
      <c r="N67" s="647"/>
      <c r="O67" s="647"/>
      <c r="P67" s="51"/>
      <c r="Q67" s="37"/>
      <c r="R67" s="37"/>
      <c r="S67" s="37"/>
    </row>
    <row r="68" spans="1:19" ht="57" x14ac:dyDescent="0.2">
      <c r="A68" s="37"/>
      <c r="B68" s="1339" t="s">
        <v>569</v>
      </c>
      <c r="C68" s="1340"/>
      <c r="D68" s="1340"/>
      <c r="E68" s="1341"/>
      <c r="F68" s="54" t="s">
        <v>570</v>
      </c>
      <c r="G68" s="54" t="s">
        <v>571</v>
      </c>
      <c r="H68" s="647"/>
      <c r="I68" s="1339" t="s">
        <v>569</v>
      </c>
      <c r="J68" s="1340"/>
      <c r="K68" s="1340"/>
      <c r="L68" s="1341"/>
      <c r="M68" s="54" t="s">
        <v>570</v>
      </c>
      <c r="N68" s="54" t="s">
        <v>572</v>
      </c>
      <c r="O68" s="54" t="s">
        <v>571</v>
      </c>
      <c r="P68" s="51"/>
      <c r="Q68" s="37"/>
      <c r="R68" s="37"/>
      <c r="S68" s="37"/>
    </row>
    <row r="69" spans="1:19" x14ac:dyDescent="0.2">
      <c r="A69" s="37"/>
      <c r="B69" s="1336" t="s">
        <v>1531</v>
      </c>
      <c r="C69" s="1337"/>
      <c r="D69" s="1337"/>
      <c r="E69" s="1338"/>
      <c r="F69" s="255">
        <v>5000</v>
      </c>
      <c r="G69" s="256">
        <f t="shared" ref="G69:G75" si="8">IF(F69&lt;&gt;"",F69*Ref_Volume/Facility_Production_NewTech,"")</f>
        <v>13.698630136986301</v>
      </c>
      <c r="H69" s="647"/>
      <c r="I69" s="1336" t="s">
        <v>573</v>
      </c>
      <c r="J69" s="1337"/>
      <c r="K69" s="1337"/>
      <c r="L69" s="1338"/>
      <c r="M69" s="255">
        <f>B107</f>
        <v>12000</v>
      </c>
      <c r="N69" s="258">
        <f t="shared" ref="N69:N75" si="9">IF(M69&lt;&gt;"",M69*(Facility_Production_NewTech/Facility_Production_Benchmark)*(Ref_Volume_Benchmark/Ref_Volume),"")</f>
        <v>12000</v>
      </c>
      <c r="O69" s="256">
        <f t="shared" ref="O69:O75" si="10">IF(N69&lt;&gt;"",N69*Ref_Volume_Benchmark/Facility_Production_Benchmark,"")</f>
        <v>32.876712328767127</v>
      </c>
      <c r="P69" s="51"/>
      <c r="Q69" s="37"/>
      <c r="R69" s="37"/>
      <c r="S69" s="37"/>
    </row>
    <row r="70" spans="1:19" x14ac:dyDescent="0.2">
      <c r="A70" s="37"/>
      <c r="B70" s="1336"/>
      <c r="C70" s="1337"/>
      <c r="D70" s="1337"/>
      <c r="E70" s="1338"/>
      <c r="F70" s="255"/>
      <c r="G70" s="256" t="str">
        <f t="shared" si="8"/>
        <v/>
      </c>
      <c r="H70" s="647"/>
      <c r="I70" s="1336"/>
      <c r="J70" s="1337"/>
      <c r="K70" s="1337"/>
      <c r="L70" s="1338"/>
      <c r="M70" s="255"/>
      <c r="N70" s="258" t="str">
        <f t="shared" si="9"/>
        <v/>
      </c>
      <c r="O70" s="256" t="str">
        <f t="shared" si="10"/>
        <v/>
      </c>
      <c r="P70" s="51"/>
      <c r="Q70" s="37"/>
      <c r="R70" s="37"/>
      <c r="S70" s="37"/>
    </row>
    <row r="71" spans="1:19" x14ac:dyDescent="0.2">
      <c r="A71" s="37"/>
      <c r="B71" s="1336"/>
      <c r="C71" s="1337"/>
      <c r="D71" s="1337"/>
      <c r="E71" s="1338"/>
      <c r="F71" s="255"/>
      <c r="G71" s="256" t="str">
        <f t="shared" si="8"/>
        <v/>
      </c>
      <c r="H71" s="647"/>
      <c r="I71" s="1336"/>
      <c r="J71" s="1337"/>
      <c r="K71" s="1337"/>
      <c r="L71" s="1338"/>
      <c r="M71" s="255"/>
      <c r="N71" s="258" t="str">
        <f t="shared" si="9"/>
        <v/>
      </c>
      <c r="O71" s="256" t="str">
        <f t="shared" si="10"/>
        <v/>
      </c>
      <c r="P71" s="51"/>
      <c r="Q71" s="37"/>
      <c r="R71" s="37"/>
      <c r="S71" s="37"/>
    </row>
    <row r="72" spans="1:19" x14ac:dyDescent="0.2">
      <c r="A72" s="37"/>
      <c r="B72" s="1336"/>
      <c r="C72" s="1337"/>
      <c r="D72" s="1337"/>
      <c r="E72" s="1338"/>
      <c r="F72" s="255"/>
      <c r="G72" s="256" t="str">
        <f t="shared" si="8"/>
        <v/>
      </c>
      <c r="H72" s="647"/>
      <c r="I72" s="1336"/>
      <c r="J72" s="1337"/>
      <c r="K72" s="1337"/>
      <c r="L72" s="1338"/>
      <c r="M72" s="255"/>
      <c r="N72" s="258" t="str">
        <f t="shared" si="9"/>
        <v/>
      </c>
      <c r="O72" s="256" t="str">
        <f t="shared" si="10"/>
        <v/>
      </c>
      <c r="P72" s="51"/>
      <c r="Q72" s="37"/>
      <c r="R72" s="37"/>
      <c r="S72" s="37"/>
    </row>
    <row r="73" spans="1:19" x14ac:dyDescent="0.2">
      <c r="A73" s="37"/>
      <c r="B73" s="1336"/>
      <c r="C73" s="1337"/>
      <c r="D73" s="1337"/>
      <c r="E73" s="1338"/>
      <c r="F73" s="255"/>
      <c r="G73" s="256" t="str">
        <f t="shared" si="8"/>
        <v/>
      </c>
      <c r="H73" s="647"/>
      <c r="I73" s="1336"/>
      <c r="J73" s="1337"/>
      <c r="K73" s="1337"/>
      <c r="L73" s="1338"/>
      <c r="M73" s="255"/>
      <c r="N73" s="258" t="str">
        <f t="shared" si="9"/>
        <v/>
      </c>
      <c r="O73" s="256" t="str">
        <f t="shared" si="10"/>
        <v/>
      </c>
      <c r="P73" s="51"/>
      <c r="Q73" s="37"/>
      <c r="R73" s="37"/>
      <c r="S73" s="37"/>
    </row>
    <row r="74" spans="1:19" x14ac:dyDescent="0.2">
      <c r="A74" s="37"/>
      <c r="B74" s="1336"/>
      <c r="C74" s="1337"/>
      <c r="D74" s="1337"/>
      <c r="E74" s="1338"/>
      <c r="F74" s="255"/>
      <c r="G74" s="256" t="str">
        <f t="shared" si="8"/>
        <v/>
      </c>
      <c r="H74" s="647"/>
      <c r="I74" s="1336"/>
      <c r="J74" s="1337"/>
      <c r="K74" s="1337"/>
      <c r="L74" s="1338"/>
      <c r="M74" s="255"/>
      <c r="N74" s="258" t="str">
        <f t="shared" si="9"/>
        <v/>
      </c>
      <c r="O74" s="256" t="str">
        <f t="shared" si="10"/>
        <v/>
      </c>
      <c r="P74" s="51"/>
      <c r="Q74" s="37"/>
      <c r="R74" s="37"/>
      <c r="S74" s="37"/>
    </row>
    <row r="75" spans="1:19" x14ac:dyDescent="0.2">
      <c r="A75" s="37"/>
      <c r="B75" s="1336"/>
      <c r="C75" s="1337"/>
      <c r="D75" s="1337"/>
      <c r="E75" s="1338"/>
      <c r="F75" s="255"/>
      <c r="G75" s="256" t="str">
        <f t="shared" si="8"/>
        <v/>
      </c>
      <c r="H75" s="647"/>
      <c r="I75" s="1336"/>
      <c r="J75" s="1337"/>
      <c r="K75" s="1337"/>
      <c r="L75" s="1338"/>
      <c r="M75" s="255"/>
      <c r="N75" s="258" t="str">
        <f t="shared" si="9"/>
        <v/>
      </c>
      <c r="O75" s="256" t="str">
        <f t="shared" si="10"/>
        <v/>
      </c>
      <c r="P75" s="51"/>
      <c r="Q75" s="37"/>
      <c r="R75" s="37"/>
      <c r="S75" s="37"/>
    </row>
    <row r="76" spans="1:19" x14ac:dyDescent="0.2">
      <c r="A76" s="37"/>
      <c r="B76" s="646"/>
      <c r="C76" s="647"/>
      <c r="D76" s="647"/>
      <c r="E76" s="76" t="s">
        <v>574</v>
      </c>
      <c r="F76" s="239">
        <f>SUM(F69:F75)</f>
        <v>5000</v>
      </c>
      <c r="G76" s="257">
        <f>SUM(G69:G75)</f>
        <v>13.698630136986301</v>
      </c>
      <c r="H76" s="647"/>
      <c r="I76" s="647"/>
      <c r="J76" s="647"/>
      <c r="K76" s="647"/>
      <c r="L76" s="76" t="s">
        <v>574</v>
      </c>
      <c r="M76" s="239">
        <f>SUM(M69:M75)</f>
        <v>12000</v>
      </c>
      <c r="N76" s="239">
        <f>SUM(N69:N75)</f>
        <v>12000</v>
      </c>
      <c r="O76" s="260">
        <f>SUM(O69:O75)</f>
        <v>32.876712328767127</v>
      </c>
      <c r="P76" s="51"/>
      <c r="Q76" s="37"/>
      <c r="R76" s="37"/>
      <c r="S76" s="37"/>
    </row>
    <row r="77" spans="1:19" ht="12" customHeight="1" x14ac:dyDescent="0.2">
      <c r="A77" s="5"/>
      <c r="B77" s="646"/>
      <c r="C77" s="647"/>
      <c r="D77" s="647"/>
      <c r="E77" s="123"/>
      <c r="F77" s="113" t="s">
        <v>508</v>
      </c>
      <c r="G77" s="113" t="s">
        <v>508</v>
      </c>
      <c r="H77" s="597"/>
      <c r="I77" s="597"/>
      <c r="J77" s="597"/>
      <c r="K77" s="597"/>
      <c r="L77" s="597"/>
      <c r="M77" s="113" t="s">
        <v>508</v>
      </c>
      <c r="N77" s="113" t="s">
        <v>508</v>
      </c>
      <c r="O77" s="113" t="s">
        <v>508</v>
      </c>
      <c r="P77" s="6"/>
    </row>
    <row r="78" spans="1:19" ht="12" customHeight="1" x14ac:dyDescent="0.2">
      <c r="A78" s="5"/>
      <c r="B78" s="646"/>
      <c r="C78" s="647"/>
      <c r="D78" s="647"/>
      <c r="E78" s="647"/>
      <c r="F78" s="113" t="str">
        <f>TEXT(Facility_Production_NewTech,"#,##0")&amp;" "&amp;Ref_Volume_Unit</f>
        <v>730 Million Gallons</v>
      </c>
      <c r="G78" s="113" t="str">
        <f>TEXT(Ref_Volume,"#,##0")&amp;" "&amp;Ref_Volume_Unit</f>
        <v>2 Million Gallons</v>
      </c>
      <c r="H78" s="597"/>
      <c r="I78" s="597"/>
      <c r="J78" s="597"/>
      <c r="K78" s="597"/>
      <c r="L78" s="597"/>
      <c r="M78" s="113" t="str">
        <f>TEXT(Facility_Production_Benchmark,"#,##0")&amp;" "&amp;Ref_Volume_Unit</f>
        <v>730 Million Gallons</v>
      </c>
      <c r="N78" s="113" t="str">
        <f>TEXT(Facility_Production_NewTech*Ref_Volume_Benchmark/Ref_Volume,"#,##0")&amp;" "&amp;Ref_Volume_Unit</f>
        <v>730 Million Gallons</v>
      </c>
      <c r="O78" s="113" t="str">
        <f>TEXT(Ref_Volume_Benchmark,"#,##0")&amp;" "&amp;Ref_Volume_Unit</f>
        <v>2 Million Gallons</v>
      </c>
      <c r="P78" s="6"/>
    </row>
    <row r="79" spans="1:19" ht="36" x14ac:dyDescent="0.2">
      <c r="A79" s="5"/>
      <c r="B79" s="646"/>
      <c r="C79" s="647"/>
      <c r="D79" s="647"/>
      <c r="E79" s="647"/>
      <c r="F79" s="206" t="s">
        <v>509</v>
      </c>
      <c r="G79" s="206" t="s">
        <v>510</v>
      </c>
      <c r="H79" s="597"/>
      <c r="I79" s="597"/>
      <c r="J79" s="597"/>
      <c r="K79" s="597"/>
      <c r="L79" s="597"/>
      <c r="M79" s="206" t="s">
        <v>509</v>
      </c>
      <c r="N79" s="206" t="s">
        <v>511</v>
      </c>
      <c r="O79" s="206" t="s">
        <v>510</v>
      </c>
      <c r="P79" s="112"/>
    </row>
    <row r="80" spans="1:19" ht="18" x14ac:dyDescent="0.2">
      <c r="A80" s="5"/>
      <c r="B80" s="28"/>
      <c r="C80" s="127"/>
      <c r="D80" s="127"/>
      <c r="E80" s="127"/>
      <c r="F80" s="128"/>
      <c r="G80" s="128"/>
      <c r="H80" s="39"/>
      <c r="I80" s="122"/>
      <c r="J80" s="9"/>
      <c r="K80" s="9"/>
      <c r="L80" s="9"/>
      <c r="M80" s="9"/>
      <c r="N80" s="9"/>
      <c r="O80" s="9"/>
      <c r="P80" s="118"/>
    </row>
    <row r="81" spans="1:16" ht="18" x14ac:dyDescent="0.2">
      <c r="A81" s="5"/>
      <c r="B81" s="1163" t="s">
        <v>575</v>
      </c>
      <c r="C81" s="1165"/>
      <c r="D81" s="1165"/>
      <c r="E81" s="1165"/>
      <c r="F81" s="1165"/>
      <c r="G81" s="1165"/>
      <c r="H81" s="1165"/>
      <c r="I81" s="1165"/>
      <c r="J81" s="1165"/>
      <c r="K81" s="1165"/>
      <c r="L81" s="1165"/>
      <c r="M81" s="1165"/>
      <c r="N81" s="644"/>
      <c r="O81" s="64"/>
      <c r="P81" s="648"/>
    </row>
    <row r="82" spans="1:16" ht="23.25" customHeight="1" x14ac:dyDescent="0.2">
      <c r="A82" s="5"/>
      <c r="B82" s="1188" t="s">
        <v>576</v>
      </c>
      <c r="C82" s="1189"/>
      <c r="D82" s="1189"/>
      <c r="E82" s="1189"/>
      <c r="F82" s="1189"/>
      <c r="G82" s="1189"/>
      <c r="H82" s="1189"/>
      <c r="I82" s="1189"/>
      <c r="J82" s="1189"/>
      <c r="K82" s="1189"/>
      <c r="L82" s="1189"/>
      <c r="M82" s="148"/>
      <c r="N82" s="148"/>
      <c r="O82" s="21"/>
      <c r="P82" s="51"/>
    </row>
    <row r="83" spans="1:16" x14ac:dyDescent="0.2">
      <c r="A83" s="5"/>
      <c r="B83" s="38"/>
      <c r="C83" s="21"/>
      <c r="D83" s="629" t="s">
        <v>577</v>
      </c>
      <c r="E83" s="647"/>
      <c r="F83" s="647"/>
      <c r="G83" s="647"/>
      <c r="H83" s="148"/>
      <c r="I83" s="629"/>
      <c r="J83" s="21"/>
      <c r="K83" s="629" t="s">
        <v>578</v>
      </c>
      <c r="L83" s="647"/>
      <c r="M83" s="647"/>
      <c r="N83" s="647"/>
      <c r="O83" s="647"/>
      <c r="P83" s="51"/>
    </row>
    <row r="84" spans="1:16" ht="32.25" customHeight="1" x14ac:dyDescent="0.2">
      <c r="A84" s="5"/>
      <c r="B84" s="38"/>
      <c r="C84" s="21"/>
      <c r="D84" s="1346" t="str">
        <f>New_Technology</f>
        <v>Waste Heat Recovery (Heat Pump)</v>
      </c>
      <c r="E84" s="1347"/>
      <c r="F84" s="1347"/>
      <c r="G84" s="1348"/>
      <c r="H84" s="148"/>
      <c r="I84" s="629"/>
      <c r="J84" s="21"/>
      <c r="K84" s="1346" t="str">
        <f>Commercial_Benchmark</f>
        <v>Evaporative Condenser</v>
      </c>
      <c r="L84" s="1347"/>
      <c r="M84" s="1347"/>
      <c r="N84" s="1347"/>
      <c r="O84" s="1348"/>
      <c r="P84" s="51"/>
    </row>
    <row r="85" spans="1:16" ht="57" x14ac:dyDescent="0.2">
      <c r="A85" s="5"/>
      <c r="B85" s="153"/>
      <c r="C85" s="151"/>
      <c r="D85" s="1339" t="s">
        <v>579</v>
      </c>
      <c r="E85" s="1341"/>
      <c r="F85" s="54" t="s">
        <v>570</v>
      </c>
      <c r="G85" s="54" t="s">
        <v>571</v>
      </c>
      <c r="H85" s="148"/>
      <c r="I85" s="629"/>
      <c r="J85" s="21"/>
      <c r="K85" s="1339" t="s">
        <v>579</v>
      </c>
      <c r="L85" s="1341"/>
      <c r="M85" s="54" t="s">
        <v>570</v>
      </c>
      <c r="N85" s="54" t="s">
        <v>580</v>
      </c>
      <c r="O85" s="54" t="s">
        <v>571</v>
      </c>
      <c r="P85" s="51"/>
    </row>
    <row r="86" spans="1:16" x14ac:dyDescent="0.2">
      <c r="A86" s="5"/>
      <c r="B86" s="154"/>
      <c r="C86" s="152"/>
      <c r="D86" s="1342" t="s">
        <v>581</v>
      </c>
      <c r="E86" s="1343"/>
      <c r="F86" s="258">
        <f>F23</f>
        <v>1240.3846153846155</v>
      </c>
      <c r="G86" s="256">
        <f>G23</f>
        <v>3.3983140147523709</v>
      </c>
      <c r="H86" s="148"/>
      <c r="I86" s="629"/>
      <c r="J86" s="21"/>
      <c r="K86" s="1342" t="s">
        <v>530</v>
      </c>
      <c r="L86" s="1343"/>
      <c r="M86" s="258">
        <f>M23</f>
        <v>4279.3269230769229</v>
      </c>
      <c r="N86" s="258">
        <f>N23</f>
        <v>4279.3269230769229</v>
      </c>
      <c r="O86" s="256">
        <f>O23</f>
        <v>11.724183350895679</v>
      </c>
      <c r="P86" s="51"/>
    </row>
    <row r="87" spans="1:16" x14ac:dyDescent="0.2">
      <c r="A87" s="5"/>
      <c r="B87" s="669"/>
      <c r="C87" s="21"/>
      <c r="D87" s="1342" t="s">
        <v>582</v>
      </c>
      <c r="E87" s="1343"/>
      <c r="F87" s="258">
        <f>F42</f>
        <v>5124.5999999999995</v>
      </c>
      <c r="G87" s="261">
        <f>G42</f>
        <v>14.04</v>
      </c>
      <c r="H87" s="148"/>
      <c r="I87" s="629"/>
      <c r="J87" s="21"/>
      <c r="K87" s="1342" t="s">
        <v>544</v>
      </c>
      <c r="L87" s="1343"/>
      <c r="M87" s="258">
        <f>M42</f>
        <v>35568.097615979379</v>
      </c>
      <c r="N87" s="258">
        <f>N42</f>
        <v>35568.097615979379</v>
      </c>
      <c r="O87" s="261">
        <f>O42</f>
        <v>97.446842783505161</v>
      </c>
      <c r="P87" s="51"/>
    </row>
    <row r="88" spans="1:16" x14ac:dyDescent="0.2">
      <c r="A88" s="5"/>
      <c r="B88" s="669"/>
      <c r="C88" s="21"/>
      <c r="D88" s="1342" t="s">
        <v>583</v>
      </c>
      <c r="E88" s="1343"/>
      <c r="F88" s="258">
        <f>E59</f>
        <v>65.134118397300142</v>
      </c>
      <c r="G88" s="261">
        <f>F59</f>
        <v>0.17844963944465791</v>
      </c>
      <c r="H88" s="148"/>
      <c r="I88" s="629"/>
      <c r="J88" s="21"/>
      <c r="K88" s="1342" t="s">
        <v>553</v>
      </c>
      <c r="L88" s="1343"/>
      <c r="M88" s="258">
        <f>L59</f>
        <v>2879.3782123465335</v>
      </c>
      <c r="N88" s="258">
        <f>M59</f>
        <v>2879.3782123465335</v>
      </c>
      <c r="O88" s="261">
        <f>N59</f>
        <v>7.8887074310863925</v>
      </c>
      <c r="P88" s="51"/>
    </row>
    <row r="89" spans="1:16" x14ac:dyDescent="0.2">
      <c r="A89" s="5"/>
      <c r="B89" s="669"/>
      <c r="C89" s="21"/>
      <c r="D89" s="1342" t="s">
        <v>565</v>
      </c>
      <c r="E89" s="1343"/>
      <c r="F89" s="258">
        <f>F76</f>
        <v>5000</v>
      </c>
      <c r="G89" s="261">
        <f>G76</f>
        <v>13.698630136986301</v>
      </c>
      <c r="H89" s="148"/>
      <c r="I89" s="629"/>
      <c r="J89" s="21"/>
      <c r="K89" s="1342" t="s">
        <v>565</v>
      </c>
      <c r="L89" s="1343"/>
      <c r="M89" s="258">
        <f>M76</f>
        <v>12000</v>
      </c>
      <c r="N89" s="258">
        <f>N76</f>
        <v>12000</v>
      </c>
      <c r="O89" s="261">
        <f>O76</f>
        <v>32.876712328767127</v>
      </c>
      <c r="P89" s="51"/>
    </row>
    <row r="90" spans="1:16" x14ac:dyDescent="0.2">
      <c r="A90" s="5"/>
      <c r="B90" s="669"/>
      <c r="C90" s="21"/>
      <c r="D90" s="1344" t="s">
        <v>584</v>
      </c>
      <c r="E90" s="1345"/>
      <c r="F90" s="258">
        <f>SUM(F86:F89)</f>
        <v>11430.118733781914</v>
      </c>
      <c r="G90" s="261">
        <f>SUM(G86:G89)</f>
        <v>31.315393791183332</v>
      </c>
      <c r="H90" s="148"/>
      <c r="I90" s="629"/>
      <c r="J90" s="21"/>
      <c r="K90" s="1344" t="s">
        <v>584</v>
      </c>
      <c r="L90" s="1345"/>
      <c r="M90" s="258">
        <f>SUM(M86:M89)</f>
        <v>54726.802751402836</v>
      </c>
      <c r="N90" s="258">
        <f>SUM(N86:N89)</f>
        <v>54726.802751402836</v>
      </c>
      <c r="O90" s="261">
        <f>SUM(O86:O89)</f>
        <v>149.93644589425435</v>
      </c>
      <c r="P90" s="51"/>
    </row>
    <row r="91" spans="1:16" ht="12" customHeight="1" x14ac:dyDescent="0.2">
      <c r="A91" s="5"/>
      <c r="B91" s="55"/>
      <c r="C91" s="21"/>
      <c r="D91" s="155"/>
      <c r="E91" s="155"/>
      <c r="F91" s="113" t="s">
        <v>508</v>
      </c>
      <c r="G91" s="113" t="s">
        <v>508</v>
      </c>
      <c r="H91" s="597"/>
      <c r="I91" s="597"/>
      <c r="J91" s="597"/>
      <c r="K91" s="597"/>
      <c r="L91" s="597"/>
      <c r="M91" s="113" t="s">
        <v>508</v>
      </c>
      <c r="N91" s="113" t="s">
        <v>508</v>
      </c>
      <c r="O91" s="113" t="s">
        <v>508</v>
      </c>
      <c r="P91" s="6"/>
    </row>
    <row r="92" spans="1:16" ht="12" customHeight="1" x14ac:dyDescent="0.2">
      <c r="A92" s="5"/>
      <c r="B92" s="55"/>
      <c r="C92" s="21"/>
      <c r="D92" s="155"/>
      <c r="E92" s="155"/>
      <c r="F92" s="113" t="str">
        <f>TEXT(Facility_Production_NewTech,"#,##0")&amp;" "&amp;Ref_Volume_Unit</f>
        <v>730 Million Gallons</v>
      </c>
      <c r="G92" s="113" t="str">
        <f>TEXT(Ref_Volume,"#,##0")&amp;" "&amp;Ref_Volume_Unit</f>
        <v>2 Million Gallons</v>
      </c>
      <c r="H92" s="597"/>
      <c r="I92" s="597"/>
      <c r="J92" s="597"/>
      <c r="K92" s="597"/>
      <c r="L92" s="597"/>
      <c r="M92" s="113" t="str">
        <f>TEXT(Facility_Production_Benchmark,"#,##0")&amp;" "&amp;Ref_Volume_Unit</f>
        <v>730 Million Gallons</v>
      </c>
      <c r="N92" s="113" t="str">
        <f>TEXT(Facility_Production_NewTech*Ref_Volume_Benchmark/Ref_Volume,"#,##0")&amp;" "&amp;Ref_Volume_Unit</f>
        <v>730 Million Gallons</v>
      </c>
      <c r="O92" s="113" t="str">
        <f>TEXT(Ref_Volume_Benchmark,"#,##0")&amp;" "&amp;Ref_Volume_Unit</f>
        <v>2 Million Gallons</v>
      </c>
      <c r="P92" s="6"/>
    </row>
    <row r="93" spans="1:16" ht="36" x14ac:dyDescent="0.2">
      <c r="A93" s="5"/>
      <c r="B93" s="55"/>
      <c r="C93" s="21"/>
      <c r="D93" s="155"/>
      <c r="E93" s="155"/>
      <c r="F93" s="206" t="s">
        <v>509</v>
      </c>
      <c r="G93" s="206" t="s">
        <v>510</v>
      </c>
      <c r="H93" s="597"/>
      <c r="I93" s="597"/>
      <c r="J93" s="597"/>
      <c r="K93" s="597"/>
      <c r="L93" s="597"/>
      <c r="M93" s="206" t="s">
        <v>509</v>
      </c>
      <c r="N93" s="206" t="s">
        <v>511</v>
      </c>
      <c r="O93" s="206" t="s">
        <v>510</v>
      </c>
      <c r="P93" s="6"/>
    </row>
    <row r="94" spans="1:16" ht="18" x14ac:dyDescent="0.2">
      <c r="A94" s="5"/>
      <c r="B94" s="121"/>
      <c r="C94" s="9"/>
      <c r="D94" s="9"/>
      <c r="E94" s="89"/>
      <c r="F94" s="9"/>
      <c r="G94" s="9"/>
      <c r="H94" s="39"/>
      <c r="I94" s="122"/>
      <c r="J94" s="9"/>
      <c r="K94" s="9"/>
      <c r="L94" s="9"/>
      <c r="M94" s="9"/>
      <c r="N94" s="9"/>
      <c r="O94" s="9"/>
      <c r="P94" s="118"/>
    </row>
    <row r="95" spans="1:16" ht="18" x14ac:dyDescent="0.2">
      <c r="B95" s="1163" t="s">
        <v>122</v>
      </c>
      <c r="C95" s="1165"/>
      <c r="D95" s="1165"/>
      <c r="E95" s="1165"/>
      <c r="F95" s="1165"/>
      <c r="G95" s="1165"/>
      <c r="H95" s="1165"/>
      <c r="I95" s="1165"/>
      <c r="J95" s="1165"/>
      <c r="K95" s="1165"/>
      <c r="L95" s="1165"/>
      <c r="M95" s="1165"/>
      <c r="N95" s="644"/>
      <c r="O95" s="96"/>
      <c r="P95" s="97"/>
    </row>
    <row r="96" spans="1:16" ht="18" x14ac:dyDescent="0.2">
      <c r="B96" s="603"/>
      <c r="C96" s="597"/>
      <c r="D96" s="597"/>
      <c r="E96" s="597"/>
      <c r="F96" s="597"/>
      <c r="G96" s="597"/>
      <c r="H96" s="597"/>
      <c r="I96" s="597"/>
      <c r="J96" s="597"/>
      <c r="K96" s="597"/>
      <c r="L96" s="597"/>
      <c r="M96" s="597"/>
      <c r="N96" s="597"/>
      <c r="O96" s="45"/>
      <c r="P96" s="12"/>
    </row>
    <row r="97" spans="2:16" ht="15" customHeight="1" x14ac:dyDescent="0.2">
      <c r="B97" s="1145" t="s">
        <v>123</v>
      </c>
      <c r="C97" s="1207" t="s">
        <v>585</v>
      </c>
      <c r="D97" s="1208"/>
      <c r="E97" s="1208"/>
      <c r="F97" s="1208"/>
      <c r="G97" s="1208"/>
      <c r="H97" s="1208"/>
      <c r="I97" s="1208"/>
      <c r="J97" s="1208"/>
      <c r="K97" s="1208"/>
      <c r="L97" s="1208"/>
      <c r="M97" s="1208"/>
      <c r="N97" s="1208"/>
      <c r="O97" s="1209"/>
      <c r="P97" s="25"/>
    </row>
    <row r="98" spans="2:16" x14ac:dyDescent="0.2">
      <c r="B98" s="1145"/>
      <c r="C98" s="1207" t="s">
        <v>586</v>
      </c>
      <c r="D98" s="1208"/>
      <c r="E98" s="1208"/>
      <c r="F98" s="1208"/>
      <c r="G98" s="1208"/>
      <c r="H98" s="1208"/>
      <c r="I98" s="1208"/>
      <c r="J98" s="1208"/>
      <c r="K98" s="1208"/>
      <c r="L98" s="1208"/>
      <c r="M98" s="1208"/>
      <c r="N98" s="1208"/>
      <c r="O98" s="1209"/>
      <c r="P98" s="25"/>
    </row>
    <row r="99" spans="2:16" x14ac:dyDescent="0.2">
      <c r="B99" s="1145"/>
      <c r="C99" s="1207"/>
      <c r="D99" s="1208"/>
      <c r="E99" s="1208"/>
      <c r="F99" s="1208"/>
      <c r="G99" s="1208"/>
      <c r="H99" s="1208"/>
      <c r="I99" s="1208"/>
      <c r="J99" s="1208"/>
      <c r="K99" s="1208"/>
      <c r="L99" s="1208"/>
      <c r="M99" s="1208"/>
      <c r="N99" s="1208"/>
      <c r="O99" s="1209"/>
      <c r="P99" s="25"/>
    </row>
    <row r="100" spans="2:16" x14ac:dyDescent="0.2">
      <c r="B100" s="1145"/>
      <c r="C100" s="1207"/>
      <c r="D100" s="1208"/>
      <c r="E100" s="1208"/>
      <c r="F100" s="1208"/>
      <c r="G100" s="1208"/>
      <c r="H100" s="1208"/>
      <c r="I100" s="1208"/>
      <c r="J100" s="1208"/>
      <c r="K100" s="1208"/>
      <c r="L100" s="1208"/>
      <c r="M100" s="1208"/>
      <c r="N100" s="1208"/>
      <c r="O100" s="1209"/>
      <c r="P100" s="25"/>
    </row>
    <row r="101" spans="2:16" x14ac:dyDescent="0.2">
      <c r="B101" s="1145"/>
      <c r="C101" s="1207"/>
      <c r="D101" s="1208"/>
      <c r="E101" s="1208"/>
      <c r="F101" s="1208"/>
      <c r="G101" s="1208"/>
      <c r="H101" s="1208"/>
      <c r="I101" s="1208"/>
      <c r="J101" s="1208"/>
      <c r="K101" s="1208"/>
      <c r="L101" s="1208"/>
      <c r="M101" s="1208"/>
      <c r="N101" s="1208"/>
      <c r="O101" s="1209"/>
      <c r="P101" s="25"/>
    </row>
    <row r="102" spans="2:16" x14ac:dyDescent="0.2">
      <c r="B102" s="2"/>
      <c r="C102" s="3"/>
      <c r="D102" s="3"/>
      <c r="E102" s="3"/>
      <c r="F102" s="3"/>
      <c r="G102" s="3"/>
      <c r="H102" s="3"/>
      <c r="I102" s="3"/>
      <c r="J102" s="3"/>
      <c r="K102" s="3"/>
      <c r="L102" s="3"/>
      <c r="M102" s="3"/>
      <c r="N102" s="3"/>
      <c r="O102" s="89"/>
      <c r="P102" s="90"/>
    </row>
    <row r="103" spans="2:16" ht="18" x14ac:dyDescent="0.2">
      <c r="B103" s="1163" t="s">
        <v>170</v>
      </c>
      <c r="C103" s="1165"/>
      <c r="D103" s="1165"/>
      <c r="E103" s="1165"/>
      <c r="F103" s="1165"/>
      <c r="G103" s="1165"/>
      <c r="H103" s="1165"/>
      <c r="I103" s="1165"/>
      <c r="J103" s="1165"/>
      <c r="K103" s="1165"/>
      <c r="L103" s="1165"/>
      <c r="M103" s="1165"/>
      <c r="N103" s="644"/>
      <c r="O103" s="96"/>
      <c r="P103" s="97"/>
    </row>
    <row r="104" spans="2:16" ht="18" x14ac:dyDescent="0.2">
      <c r="B104" s="7" t="s">
        <v>171</v>
      </c>
      <c r="C104" s="597"/>
      <c r="D104" s="597"/>
      <c r="E104" s="597"/>
      <c r="F104" s="597"/>
      <c r="G104" s="597"/>
      <c r="H104" s="597"/>
      <c r="I104" s="597"/>
      <c r="J104" s="597"/>
      <c r="K104" s="597"/>
      <c r="L104" s="597"/>
      <c r="M104" s="597"/>
      <c r="N104" s="597"/>
      <c r="O104" s="45"/>
      <c r="P104" s="12"/>
    </row>
    <row r="105" spans="2:16" ht="18" x14ac:dyDescent="0.2">
      <c r="B105" s="845">
        <v>20000</v>
      </c>
      <c r="C105" s="18" t="s">
        <v>587</v>
      </c>
      <c r="D105" s="18"/>
      <c r="E105" s="18"/>
      <c r="F105" s="18"/>
      <c r="G105" s="18"/>
      <c r="H105" s="18"/>
      <c r="I105" s="18"/>
      <c r="J105" s="18"/>
      <c r="K105" s="18"/>
      <c r="L105" s="18"/>
      <c r="M105" s="597"/>
      <c r="N105" s="597"/>
      <c r="O105" s="45"/>
      <c r="P105" s="12"/>
    </row>
    <row r="106" spans="2:16" ht="18" x14ac:dyDescent="0.2">
      <c r="B106" s="842">
        <v>0.05</v>
      </c>
      <c r="C106" s="18" t="s">
        <v>588</v>
      </c>
      <c r="D106" s="18"/>
      <c r="E106" s="18"/>
      <c r="F106" s="18"/>
      <c r="G106" s="18"/>
      <c r="H106" s="18"/>
      <c r="I106" s="18"/>
      <c r="J106" s="18"/>
      <c r="K106" s="18"/>
      <c r="L106" s="18"/>
      <c r="M106" s="597"/>
      <c r="N106" s="597"/>
      <c r="O106" s="45"/>
      <c r="P106" s="12"/>
    </row>
    <row r="107" spans="2:16" ht="18" x14ac:dyDescent="0.2">
      <c r="B107" s="935">
        <f>B105*B106*12</f>
        <v>12000</v>
      </c>
      <c r="C107" s="18" t="s">
        <v>589</v>
      </c>
      <c r="D107" s="18"/>
      <c r="E107" s="18"/>
      <c r="F107" s="18"/>
      <c r="G107" s="18"/>
      <c r="H107" s="18"/>
      <c r="I107" s="18"/>
      <c r="J107" s="18"/>
      <c r="K107" s="18"/>
      <c r="L107" s="18"/>
      <c r="M107" s="597"/>
      <c r="N107" s="597"/>
      <c r="O107" s="45"/>
      <c r="P107" s="12"/>
    </row>
    <row r="108" spans="2:16" ht="18" x14ac:dyDescent="0.2">
      <c r="B108" s="7"/>
      <c r="C108" s="18"/>
      <c r="D108" s="18"/>
      <c r="E108" s="18"/>
      <c r="F108" s="18"/>
      <c r="G108" s="18"/>
      <c r="H108" s="18"/>
      <c r="I108" s="18"/>
      <c r="J108" s="18"/>
      <c r="K108" s="18"/>
      <c r="L108" s="18"/>
      <c r="M108" s="597"/>
      <c r="N108" s="597"/>
      <c r="O108" s="45"/>
      <c r="P108" s="12"/>
    </row>
    <row r="109" spans="2:16" ht="18" x14ac:dyDescent="0.2">
      <c r="B109" s="842"/>
      <c r="C109" s="18"/>
      <c r="D109" s="18"/>
      <c r="E109" s="18"/>
      <c r="F109" s="18"/>
      <c r="G109" s="18"/>
      <c r="H109" s="18"/>
      <c r="I109" s="18"/>
      <c r="J109" s="18"/>
      <c r="K109" s="18"/>
      <c r="L109" s="18"/>
      <c r="M109" s="597"/>
      <c r="N109" s="597"/>
      <c r="O109" s="45"/>
      <c r="P109" s="12"/>
    </row>
    <row r="110" spans="2:16" ht="18" x14ac:dyDescent="0.2">
      <c r="B110" s="7"/>
      <c r="C110" s="18"/>
      <c r="D110" s="18"/>
      <c r="E110" s="18"/>
      <c r="F110" s="18"/>
      <c r="G110" s="18"/>
      <c r="H110" s="18"/>
      <c r="I110" s="18"/>
      <c r="J110" s="18"/>
      <c r="K110" s="18"/>
      <c r="L110" s="18"/>
      <c r="M110" s="597"/>
      <c r="N110" s="597"/>
      <c r="O110" s="45"/>
      <c r="P110" s="12"/>
    </row>
    <row r="111" spans="2:16" ht="18" x14ac:dyDescent="0.2">
      <c r="B111" s="845"/>
      <c r="C111" s="18"/>
      <c r="D111" s="18"/>
      <c r="E111" s="18"/>
      <c r="F111" s="18"/>
      <c r="G111" s="18"/>
      <c r="H111" s="18"/>
      <c r="I111" s="18"/>
      <c r="J111" s="18"/>
      <c r="K111" s="18"/>
      <c r="L111" s="18"/>
      <c r="M111" s="597"/>
      <c r="N111" s="597"/>
      <c r="O111" s="45"/>
      <c r="P111" s="12"/>
    </row>
    <row r="112" spans="2:16" ht="18" x14ac:dyDescent="0.2">
      <c r="B112" s="845"/>
      <c r="C112" s="18"/>
      <c r="D112" s="18"/>
      <c r="E112" s="18"/>
      <c r="F112" s="18"/>
      <c r="G112" s="18"/>
      <c r="H112" s="18"/>
      <c r="I112" s="18"/>
      <c r="J112" s="18"/>
      <c r="K112" s="18"/>
      <c r="L112" s="18"/>
      <c r="M112" s="597"/>
      <c r="N112" s="597"/>
      <c r="O112" s="45"/>
      <c r="P112" s="12"/>
    </row>
    <row r="113" spans="2:16" ht="18" x14ac:dyDescent="0.2">
      <c r="B113" s="936" t="s">
        <v>590</v>
      </c>
      <c r="C113" s="18"/>
      <c r="D113" s="18"/>
      <c r="E113" s="1131"/>
      <c r="F113" s="18"/>
      <c r="G113" s="18"/>
      <c r="H113" s="18"/>
      <c r="I113" s="18"/>
      <c r="J113" s="18"/>
      <c r="K113" s="18"/>
      <c r="L113" s="18"/>
      <c r="M113" s="597"/>
      <c r="N113" s="597"/>
      <c r="O113" s="45"/>
      <c r="P113" s="12"/>
    </row>
    <row r="114" spans="2:16" ht="18" x14ac:dyDescent="0.2">
      <c r="B114" s="845"/>
      <c r="C114" s="18"/>
      <c r="D114" s="18"/>
      <c r="E114" s="18"/>
      <c r="F114" s="18"/>
      <c r="G114" s="18"/>
      <c r="H114" s="18"/>
      <c r="I114" s="18"/>
      <c r="J114" s="18"/>
      <c r="K114" s="18"/>
      <c r="L114" s="18"/>
      <c r="M114" s="597"/>
      <c r="N114" s="597"/>
      <c r="O114" s="45"/>
      <c r="P114" s="12"/>
    </row>
    <row r="115" spans="2:16" ht="19" x14ac:dyDescent="0.2">
      <c r="B115" s="937" t="s">
        <v>591</v>
      </c>
      <c r="C115" s="18"/>
      <c r="D115" s="18"/>
      <c r="E115" s="18"/>
      <c r="F115" s="18"/>
      <c r="G115" s="18"/>
      <c r="H115" s="18"/>
      <c r="I115" s="938" t="s">
        <v>592</v>
      </c>
      <c r="J115" s="18"/>
      <c r="K115" s="938">
        <v>4</v>
      </c>
      <c r="L115" s="938" t="s">
        <v>593</v>
      </c>
      <c r="M115" s="597"/>
      <c r="N115" s="597"/>
      <c r="O115" s="45"/>
      <c r="P115" s="12"/>
    </row>
    <row r="116" spans="2:16" ht="42" x14ac:dyDescent="0.2">
      <c r="B116" s="939" t="s">
        <v>594</v>
      </c>
      <c r="C116" s="417" t="s">
        <v>595</v>
      </c>
      <c r="D116" s="417" t="s">
        <v>596</v>
      </c>
      <c r="E116" s="18"/>
      <c r="F116" s="18"/>
      <c r="G116" s="18"/>
      <c r="H116" s="18"/>
      <c r="I116" s="939" t="s">
        <v>594</v>
      </c>
      <c r="J116" s="417" t="s">
        <v>595</v>
      </c>
      <c r="K116" s="417" t="s">
        <v>596</v>
      </c>
      <c r="L116" s="18"/>
      <c r="M116" s="597"/>
      <c r="N116" s="597"/>
      <c r="O116" s="45"/>
      <c r="P116" s="12"/>
    </row>
    <row r="117" spans="2:16" ht="18" x14ac:dyDescent="0.2">
      <c r="B117" s="940" t="s">
        <v>597</v>
      </c>
      <c r="C117" s="861">
        <v>12</v>
      </c>
      <c r="D117" s="861">
        <v>0.5</v>
      </c>
      <c r="E117" s="18"/>
      <c r="F117" s="18"/>
      <c r="G117" s="18"/>
      <c r="H117" s="18"/>
      <c r="I117" s="861" t="s">
        <v>598</v>
      </c>
      <c r="J117" s="861">
        <v>12</v>
      </c>
      <c r="K117" s="861">
        <f>1/8</f>
        <v>0.125</v>
      </c>
      <c r="L117" s="18"/>
      <c r="M117" s="597"/>
      <c r="N117" s="597"/>
      <c r="O117" s="45"/>
      <c r="P117" s="12"/>
    </row>
    <row r="118" spans="2:16" ht="28" x14ac:dyDescent="0.2">
      <c r="B118" s="941" t="s">
        <v>599</v>
      </c>
      <c r="C118" s="861">
        <v>1</v>
      </c>
      <c r="D118" s="861">
        <v>2</v>
      </c>
      <c r="E118" s="18"/>
      <c r="F118" s="18"/>
      <c r="G118" s="18"/>
      <c r="H118" s="18"/>
      <c r="I118" s="861" t="s">
        <v>600</v>
      </c>
      <c r="J118" s="861">
        <v>2</v>
      </c>
      <c r="K118" s="861">
        <v>0.125</v>
      </c>
      <c r="L118" s="18"/>
      <c r="M118" s="597"/>
      <c r="N118" s="597"/>
      <c r="O118" s="45"/>
      <c r="P118" s="12"/>
    </row>
    <row r="119" spans="2:16" ht="18" x14ac:dyDescent="0.2">
      <c r="B119" s="845"/>
      <c r="C119" s="18" t="s">
        <v>601</v>
      </c>
      <c r="D119" s="18">
        <f>SUM(D117:D118)</f>
        <v>2.5</v>
      </c>
      <c r="E119" s="18" t="s">
        <v>602</v>
      </c>
      <c r="F119" s="18"/>
      <c r="G119" s="18"/>
      <c r="H119" s="18"/>
      <c r="I119" s="861" t="s">
        <v>603</v>
      </c>
      <c r="J119" s="861">
        <v>1</v>
      </c>
      <c r="K119" s="861">
        <v>2</v>
      </c>
      <c r="L119" s="18"/>
      <c r="M119" s="597"/>
      <c r="N119" s="597"/>
      <c r="O119" s="45"/>
      <c r="P119" s="12"/>
    </row>
    <row r="120" spans="2:16" ht="18" x14ac:dyDescent="0.2">
      <c r="B120" s="845"/>
      <c r="C120" s="18"/>
      <c r="D120" s="18"/>
      <c r="E120" s="18"/>
      <c r="F120" s="18"/>
      <c r="G120" s="18"/>
      <c r="H120" s="18"/>
      <c r="I120" s="18"/>
      <c r="J120" s="18" t="s">
        <v>601</v>
      </c>
      <c r="K120" s="18">
        <f>K117*K115+K118+K119*K115</f>
        <v>8.625</v>
      </c>
      <c r="L120" s="18" t="s">
        <v>602</v>
      </c>
      <c r="M120" s="597"/>
      <c r="N120" s="597"/>
      <c r="O120" s="45"/>
      <c r="P120" s="12"/>
    </row>
    <row r="121" spans="2:16" ht="18" x14ac:dyDescent="0.2">
      <c r="B121" s="845"/>
      <c r="C121" s="18"/>
      <c r="D121" s="18"/>
      <c r="E121" s="18"/>
      <c r="F121" s="18"/>
      <c r="G121" s="18"/>
      <c r="H121" s="18"/>
      <c r="I121" s="18"/>
      <c r="J121" s="18"/>
      <c r="K121" s="18"/>
      <c r="L121" s="18"/>
      <c r="M121" s="597"/>
      <c r="N121" s="597"/>
      <c r="O121" s="45"/>
      <c r="P121" s="12"/>
    </row>
    <row r="122" spans="2:16" ht="18" x14ac:dyDescent="0.2">
      <c r="B122" s="845" t="s">
        <v>604</v>
      </c>
      <c r="C122" s="18">
        <v>260</v>
      </c>
      <c r="D122" s="18" t="s">
        <v>605</v>
      </c>
      <c r="E122" s="18"/>
      <c r="F122" s="18"/>
      <c r="G122" s="18"/>
      <c r="H122" s="18"/>
      <c r="I122" s="18"/>
      <c r="J122" s="18"/>
      <c r="K122" s="18"/>
      <c r="L122" s="18"/>
      <c r="M122" s="597"/>
      <c r="N122" s="597"/>
      <c r="O122" s="45"/>
      <c r="P122" s="12"/>
    </row>
    <row r="123" spans="2:16" ht="18" x14ac:dyDescent="0.2">
      <c r="B123" s="845"/>
      <c r="C123" s="18"/>
      <c r="D123" s="18"/>
      <c r="E123" s="18"/>
      <c r="F123" s="18"/>
      <c r="G123" s="18"/>
      <c r="H123" s="18"/>
      <c r="I123" s="18"/>
      <c r="J123" s="18"/>
      <c r="K123" s="18"/>
      <c r="L123" s="18"/>
      <c r="M123" s="597"/>
      <c r="N123" s="597"/>
      <c r="O123" s="45"/>
      <c r="P123" s="12"/>
    </row>
    <row r="124" spans="2:16" ht="18" x14ac:dyDescent="0.2">
      <c r="B124" s="942" t="s">
        <v>606</v>
      </c>
      <c r="C124" s="898"/>
      <c r="D124" s="898">
        <f>D119/C122</f>
        <v>9.6153846153846159E-3</v>
      </c>
      <c r="E124" s="898"/>
      <c r="F124" s="18"/>
      <c r="G124" s="18"/>
      <c r="H124" s="18"/>
      <c r="I124" s="18"/>
      <c r="J124" s="18"/>
      <c r="K124" s="18"/>
      <c r="L124" s="18"/>
      <c r="M124" s="597"/>
      <c r="N124" s="597"/>
      <c r="O124" s="45"/>
      <c r="P124" s="12"/>
    </row>
    <row r="125" spans="2:16" ht="18" x14ac:dyDescent="0.2">
      <c r="B125" s="942" t="s">
        <v>607</v>
      </c>
      <c r="C125" s="898"/>
      <c r="D125" s="898"/>
      <c r="E125" s="898">
        <f>K120/C122</f>
        <v>3.3173076923076923E-2</v>
      </c>
      <c r="F125" s="18"/>
      <c r="G125" s="18"/>
      <c r="H125" s="18"/>
      <c r="I125" s="18"/>
      <c r="J125" s="18"/>
      <c r="K125" s="18"/>
      <c r="L125" s="18"/>
      <c r="M125" s="597"/>
      <c r="N125" s="597"/>
      <c r="O125" s="45"/>
      <c r="P125" s="12"/>
    </row>
    <row r="126" spans="2:16" ht="18" x14ac:dyDescent="0.2">
      <c r="B126" s="845"/>
      <c r="C126" s="18"/>
      <c r="D126" s="18"/>
      <c r="E126" s="18"/>
      <c r="F126" s="18"/>
      <c r="G126" s="18"/>
      <c r="H126" s="18"/>
      <c r="I126" s="18"/>
      <c r="J126" s="18"/>
      <c r="K126" s="18"/>
      <c r="L126" s="18"/>
      <c r="M126" s="597"/>
      <c r="N126" s="597"/>
      <c r="O126" s="45"/>
      <c r="P126" s="12"/>
    </row>
    <row r="127" spans="2:16" x14ac:dyDescent="0.2">
      <c r="B127" s="943"/>
      <c r="C127" s="36"/>
      <c r="D127" s="36"/>
      <c r="E127" s="36"/>
      <c r="F127" s="36"/>
      <c r="G127" s="36"/>
      <c r="H127" s="36"/>
      <c r="I127" s="36"/>
      <c r="J127" s="36"/>
      <c r="K127" s="36"/>
      <c r="L127" s="36"/>
      <c r="M127" s="3"/>
      <c r="N127" s="3"/>
      <c r="O127" s="89"/>
      <c r="P127" s="90"/>
    </row>
    <row r="128" spans="2:16" x14ac:dyDescent="0.2">
      <c r="B128" s="1206" t="s">
        <v>124</v>
      </c>
      <c r="C128" s="1169"/>
      <c r="D128" s="1169"/>
      <c r="E128" s="1170"/>
      <c r="F128" s="944"/>
      <c r="G128" s="944"/>
      <c r="H128" s="944"/>
      <c r="I128" s="944"/>
      <c r="J128" s="944"/>
      <c r="K128" s="944"/>
      <c r="L128" s="944"/>
      <c r="M128" s="944"/>
      <c r="N128" s="944"/>
      <c r="O128" s="944"/>
      <c r="P128" s="944"/>
    </row>
  </sheetData>
  <mergeCells count="62">
    <mergeCell ref="B128:E128"/>
    <mergeCell ref="B65:M65"/>
    <mergeCell ref="D89:E89"/>
    <mergeCell ref="D90:E90"/>
    <mergeCell ref="D84:G84"/>
    <mergeCell ref="K84:O84"/>
    <mergeCell ref="K85:L85"/>
    <mergeCell ref="K86:L86"/>
    <mergeCell ref="K87:L87"/>
    <mergeCell ref="K88:L88"/>
    <mergeCell ref="K89:L89"/>
    <mergeCell ref="K90:L90"/>
    <mergeCell ref="D85:E85"/>
    <mergeCell ref="D86:E86"/>
    <mergeCell ref="D87:E87"/>
    <mergeCell ref="D88:E88"/>
    <mergeCell ref="B82:L82"/>
    <mergeCell ref="B81:M81"/>
    <mergeCell ref="B69:E69"/>
    <mergeCell ref="B68:E68"/>
    <mergeCell ref="B70:E70"/>
    <mergeCell ref="B71:E71"/>
    <mergeCell ref="I75:L75"/>
    <mergeCell ref="I70:L70"/>
    <mergeCell ref="I71:L71"/>
    <mergeCell ref="I72:L72"/>
    <mergeCell ref="I73:L73"/>
    <mergeCell ref="I74:L74"/>
    <mergeCell ref="B1:O1"/>
    <mergeCell ref="B2:O2"/>
    <mergeCell ref="B4:O4"/>
    <mergeCell ref="C8:G8"/>
    <mergeCell ref="J8:O8"/>
    <mergeCell ref="D3:G3"/>
    <mergeCell ref="J10:O10"/>
    <mergeCell ref="J9:O9"/>
    <mergeCell ref="B6:L6"/>
    <mergeCell ref="C9:G9"/>
    <mergeCell ref="C10:G10"/>
    <mergeCell ref="B95:M95"/>
    <mergeCell ref="B97:B101"/>
    <mergeCell ref="C97:O97"/>
    <mergeCell ref="C98:O98"/>
    <mergeCell ref="C99:O99"/>
    <mergeCell ref="C100:O100"/>
    <mergeCell ref="C101:O101"/>
    <mergeCell ref="B103:M103"/>
    <mergeCell ref="B15:M15"/>
    <mergeCell ref="B28:M28"/>
    <mergeCell ref="B47:M47"/>
    <mergeCell ref="B64:M64"/>
    <mergeCell ref="B16:L16"/>
    <mergeCell ref="B29:L29"/>
    <mergeCell ref="B48:L48"/>
    <mergeCell ref="B17:L17"/>
    <mergeCell ref="B18:D18"/>
    <mergeCell ref="B72:E72"/>
    <mergeCell ref="B73:E73"/>
    <mergeCell ref="B74:E74"/>
    <mergeCell ref="B75:E75"/>
    <mergeCell ref="I68:L68"/>
    <mergeCell ref="I69:L69"/>
  </mergeCells>
  <hyperlinks>
    <hyperlink ref="B18" location="'Labor Estimation'!A1" display="Labor Cost Estimation Rules-of-Thumb" xr:uid="{5EC15FE6-E9CB-4167-A65D-AFCB392C65D5}"/>
    <hyperlink ref="D3:F3" location="FullDataLanding" display="Return to Planning Page" xr:uid="{0DA311A6-279E-4B7A-A3E7-10E3B3BC83C2}"/>
    <hyperlink ref="B18:D18" location="Labor_Estimation" display="Calculation Tool: Labor Cost Estimation Rules-of-Thumb" xr:uid="{2ADA0643-94AF-4A4C-9C84-E6FB9A7F3197}"/>
    <hyperlink ref="B115" r:id="rId1" xr:uid="{4A349300-7C46-494B-A877-D30A5459049C}"/>
    <hyperlink ref="B128:D128" location="FullDataLanding" display="Return to Planning Page" xr:uid="{2073B0CB-3664-4786-8B13-397B020FB060}"/>
    <hyperlink ref="B128:E128" location="FullDataLanding" display="Return to Home Page" xr:uid="{CEDA875B-B90F-4B45-B1CC-7112DF025CCB}"/>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3E9F-6F70-4D9B-B2B4-D82B67B5565C}">
  <sheetPr>
    <tabColor rgb="FF00B050"/>
  </sheetPr>
  <dimension ref="B1:Q35"/>
  <sheetViews>
    <sheetView showGridLines="0" workbookViewId="0">
      <selection activeCell="B9" sqref="B9:D11"/>
    </sheetView>
  </sheetViews>
  <sheetFormatPr baseColWidth="10" defaultColWidth="8.83203125" defaultRowHeight="15" x14ac:dyDescent="0.2"/>
  <cols>
    <col min="1" max="1" width="3.33203125" customWidth="1"/>
    <col min="4" max="4" width="14.6640625" customWidth="1"/>
    <col min="13" max="13" width="17.33203125" customWidth="1"/>
    <col min="14" max="14" width="8.6640625" customWidth="1"/>
    <col min="20" max="20" width="11" bestFit="1" customWidth="1"/>
    <col min="21" max="21" width="12" bestFit="1" customWidth="1"/>
  </cols>
  <sheetData>
    <row r="1" spans="2:17" x14ac:dyDescent="0.2">
      <c r="B1" s="1159" t="s">
        <v>0</v>
      </c>
      <c r="C1" s="1159"/>
      <c r="D1" s="1159"/>
      <c r="E1" s="1159"/>
      <c r="F1" s="1159"/>
      <c r="G1" s="1159"/>
      <c r="H1" s="1159"/>
      <c r="I1" s="1159"/>
      <c r="J1" s="1159"/>
      <c r="K1" s="1159"/>
      <c r="L1" s="1159"/>
      <c r="M1" s="1159"/>
      <c r="N1" s="1159"/>
      <c r="O1" s="1159"/>
      <c r="P1" s="1159"/>
      <c r="Q1" s="1359"/>
    </row>
    <row r="2" spans="2:17" ht="20" x14ac:dyDescent="0.2">
      <c r="B2" s="1296" t="s">
        <v>1</v>
      </c>
      <c r="C2" s="1296"/>
      <c r="D2" s="1296"/>
      <c r="E2" s="1296"/>
      <c r="F2" s="1296"/>
      <c r="G2" s="1296"/>
      <c r="H2" s="1296"/>
      <c r="I2" s="1296"/>
      <c r="J2" s="1296"/>
      <c r="K2" s="1296"/>
      <c r="L2" s="1296"/>
      <c r="M2" s="1296"/>
      <c r="N2" s="1296"/>
      <c r="O2" s="1296"/>
      <c r="P2" s="1296"/>
      <c r="Q2" s="1360"/>
    </row>
    <row r="3" spans="2:17" x14ac:dyDescent="0.2">
      <c r="B3" s="1361" t="s">
        <v>126</v>
      </c>
      <c r="C3" s="1361"/>
      <c r="D3" s="1361"/>
      <c r="E3" s="1361"/>
      <c r="F3" s="1361"/>
      <c r="G3" s="1361"/>
      <c r="H3" s="1361"/>
      <c r="I3" s="1361"/>
      <c r="J3" s="1361"/>
      <c r="K3" s="1361"/>
      <c r="L3" s="1361"/>
      <c r="M3" s="1361"/>
      <c r="N3" s="1361"/>
      <c r="O3" s="1361"/>
      <c r="P3" s="1361"/>
      <c r="Q3" s="1362"/>
    </row>
    <row r="4" spans="2:17" x14ac:dyDescent="0.2">
      <c r="B4" s="1363" t="s">
        <v>608</v>
      </c>
      <c r="C4" s="1364"/>
      <c r="D4" s="1364"/>
      <c r="E4" s="1364"/>
      <c r="F4" s="1364"/>
      <c r="G4" s="1364"/>
      <c r="H4" s="1364"/>
      <c r="I4" s="1364"/>
      <c r="J4" s="1364"/>
      <c r="K4" s="1364"/>
      <c r="L4" s="1364"/>
      <c r="M4" s="1364"/>
      <c r="N4" s="1364"/>
      <c r="O4" s="1364"/>
      <c r="P4" s="1364"/>
      <c r="Q4" s="1365"/>
    </row>
    <row r="5" spans="2:17" x14ac:dyDescent="0.2">
      <c r="B5" s="1364"/>
      <c r="C5" s="1364"/>
      <c r="D5" s="1364"/>
      <c r="E5" s="1364"/>
      <c r="F5" s="1364"/>
      <c r="G5" s="1364"/>
      <c r="H5" s="1364"/>
      <c r="I5" s="1364"/>
      <c r="J5" s="1364"/>
      <c r="K5" s="1364"/>
      <c r="L5" s="1364"/>
      <c r="M5" s="1364"/>
      <c r="N5" s="1364"/>
      <c r="O5" s="1364"/>
      <c r="P5" s="1364"/>
      <c r="Q5" s="1365"/>
    </row>
    <row r="6" spans="2:17" ht="14.75" customHeight="1" x14ac:dyDescent="0.2">
      <c r="B6" s="1364"/>
      <c r="C6" s="1364"/>
      <c r="D6" s="1364"/>
      <c r="E6" s="1364"/>
      <c r="F6" s="1364"/>
      <c r="G6" s="1364"/>
      <c r="H6" s="1364"/>
      <c r="I6" s="1364"/>
      <c r="J6" s="1364"/>
      <c r="K6" s="1364"/>
      <c r="L6" s="1364"/>
      <c r="M6" s="1364"/>
      <c r="N6" s="1364"/>
      <c r="O6" s="1364"/>
      <c r="P6" s="1364"/>
      <c r="Q6" s="1365"/>
    </row>
    <row r="7" spans="2:17" ht="15" customHeight="1" x14ac:dyDescent="0.2">
      <c r="B7" s="1364"/>
      <c r="C7" s="1364"/>
      <c r="D7" s="1364"/>
      <c r="E7" s="1364"/>
      <c r="F7" s="1364"/>
      <c r="G7" s="1364"/>
      <c r="H7" s="1364"/>
      <c r="I7" s="1364"/>
      <c r="J7" s="1364"/>
      <c r="K7" s="1364"/>
      <c r="L7" s="1364"/>
      <c r="M7" s="1364"/>
      <c r="N7" s="1364"/>
      <c r="O7" s="1364"/>
      <c r="P7" s="1364"/>
      <c r="Q7" s="1365"/>
    </row>
    <row r="8" spans="2:17" x14ac:dyDescent="0.2">
      <c r="B8" s="48"/>
      <c r="Q8" s="112"/>
    </row>
    <row r="9" spans="2:17" x14ac:dyDescent="0.2">
      <c r="B9" s="1371"/>
      <c r="C9" s="1371"/>
      <c r="D9" s="1371"/>
      <c r="E9" s="789"/>
      <c r="F9" s="1355" t="s">
        <v>609</v>
      </c>
      <c r="G9" s="1355"/>
      <c r="H9" s="1355"/>
      <c r="I9" s="1366"/>
      <c r="J9" s="1366"/>
      <c r="K9" s="1373"/>
      <c r="L9" s="1373"/>
      <c r="M9" s="1373"/>
      <c r="N9" s="789"/>
      <c r="O9" s="1355" t="s">
        <v>609</v>
      </c>
      <c r="P9" s="1355"/>
      <c r="Q9" s="1358"/>
    </row>
    <row r="10" spans="2:17" x14ac:dyDescent="0.2">
      <c r="B10" s="1371"/>
      <c r="C10" s="1371"/>
      <c r="D10" s="1371"/>
      <c r="E10" s="1037"/>
      <c r="F10" s="1372" t="str" cm="1">
        <f t="array" ref="F10">_xlfn.SWITCH(B9,'Dropdown Menu Options'!D75,'Dropdown Menu Options'!D76,'Dropdown Menu Options'!E75,'Dropdown Menu Options'!E76,'Dropdown Menu Options'!F75,'Dropdown Menu Options'!F76,'Dropdown Menu Options'!G75,'Dropdown Menu Options'!G76,'Dropdown Menu Options'!H75,'Dropdown Menu Options'!H76,'Dropdown Menu Options'!I75,'Dropdown Menu Options'!I76,'Dropdown Menu Options'!J75,'Dropdown Menu Options'!J76,'Dropdown Menu Options'!K75,'Dropdown Menu Options'!K76,'Dropdown Menu Options'!L75,'Dropdown Menu Options'!L76,'Dropdown Menu Options'!M75,'Dropdown Menu Options'!M76,"")</f>
        <v/>
      </c>
      <c r="G10" s="1372"/>
      <c r="H10" s="1372"/>
      <c r="I10" s="1366"/>
      <c r="J10" s="1366"/>
      <c r="K10" s="1373"/>
      <c r="L10" s="1373"/>
      <c r="M10" s="1373"/>
      <c r="N10" s="48"/>
      <c r="O10" s="1368" t="str" cm="1">
        <f t="array" ref="O10">_xlfn.SWITCH(K9,'Dropdown Menu Options'!D75,'Dropdown Menu Options'!D76,'Dropdown Menu Options'!E75,'Dropdown Menu Options'!E76,'Dropdown Menu Options'!H75,'Dropdown Menu Options'!H76,'Dropdown Menu Options'!I75,'Dropdown Menu Options'!I76,'Dropdown Menu Options'!J75,'Dropdown Menu Options'!J76,'Dropdown Menu Options'!K75,'Dropdown Menu Options'!K76,'Dropdown Menu Options'!L75,'Dropdown Menu Options'!L76,'Dropdown Menu Options'!M75,'Dropdown Menu Options'!M76,"")</f>
        <v/>
      </c>
      <c r="P10" s="1368"/>
      <c r="Q10" s="1369"/>
    </row>
    <row r="11" spans="2:17" x14ac:dyDescent="0.2">
      <c r="B11" s="1371"/>
      <c r="C11" s="1371"/>
      <c r="D11" s="1371"/>
      <c r="E11" s="797"/>
      <c r="F11" s="1372"/>
      <c r="G11" s="1372"/>
      <c r="H11" s="1372"/>
      <c r="I11" s="1366"/>
      <c r="J11" s="1366"/>
      <c r="K11" s="1373"/>
      <c r="L11" s="1373"/>
      <c r="M11" s="1373"/>
      <c r="N11" s="1028"/>
      <c r="O11" s="1368"/>
      <c r="P11" s="1368"/>
      <c r="Q11" s="1369"/>
    </row>
    <row r="12" spans="2:17" x14ac:dyDescent="0.2">
      <c r="B12" s="1355" t="s">
        <v>610</v>
      </c>
      <c r="C12" s="1355"/>
      <c r="D12" s="1355"/>
      <c r="E12" s="968"/>
      <c r="F12" s="1370" t="s">
        <v>611</v>
      </c>
      <c r="G12" s="1370"/>
      <c r="H12" s="1370"/>
      <c r="I12" s="1366"/>
      <c r="J12" s="1366"/>
      <c r="K12" s="1355" t="s">
        <v>610</v>
      </c>
      <c r="L12" s="1355"/>
      <c r="M12" s="1355"/>
      <c r="N12" s="1041"/>
      <c r="O12" s="1355" t="s">
        <v>611</v>
      </c>
      <c r="P12" s="1355"/>
      <c r="Q12" s="1358"/>
    </row>
    <row r="13" spans="2:17" ht="16" x14ac:dyDescent="0.2">
      <c r="B13" s="1356"/>
      <c r="C13" s="1356"/>
      <c r="D13" s="1356"/>
      <c r="E13" s="1038" t="str">
        <f>IF(B13="","","=")</f>
        <v/>
      </c>
      <c r="F13" s="1367" t="str">
        <f>IF(B13="","",B13*F$10)</f>
        <v/>
      </c>
      <c r="G13" s="1367"/>
      <c r="H13" s="1367"/>
      <c r="I13" s="1366"/>
      <c r="J13" s="1366"/>
      <c r="K13" s="1356"/>
      <c r="L13" s="1357"/>
      <c r="M13" s="1357"/>
      <c r="N13" s="795" t="str">
        <f t="shared" ref="N13:N34" si="0">IF(K13="","","=")</f>
        <v/>
      </c>
      <c r="O13" s="1349" t="str">
        <f t="shared" ref="O13:O34" si="1">IF(K13="","",K13*O$10)</f>
        <v/>
      </c>
      <c r="P13" s="1349"/>
      <c r="Q13" s="1350"/>
    </row>
    <row r="14" spans="2:17" ht="16" x14ac:dyDescent="0.2">
      <c r="B14" s="1351"/>
      <c r="C14" s="1351"/>
      <c r="D14" s="1351"/>
      <c r="E14" s="1039" t="str">
        <f t="shared" ref="E14:E34" si="2">IF(B14="","","=")</f>
        <v/>
      </c>
      <c r="F14" s="1349" t="str">
        <f t="shared" ref="F14:F34" si="3">IF(B14="","",B14*F$10)</f>
        <v/>
      </c>
      <c r="G14" s="1349"/>
      <c r="H14" s="1349"/>
      <c r="I14" s="1366"/>
      <c r="J14" s="1366"/>
      <c r="K14" s="1351"/>
      <c r="L14" s="1352"/>
      <c r="M14" s="1352"/>
      <c r="N14" s="795" t="str">
        <f t="shared" si="0"/>
        <v/>
      </c>
      <c r="O14" s="1349" t="str">
        <f t="shared" si="1"/>
        <v/>
      </c>
      <c r="P14" s="1349"/>
      <c r="Q14" s="1350"/>
    </row>
    <row r="15" spans="2:17" ht="16" x14ac:dyDescent="0.2">
      <c r="B15" s="1351"/>
      <c r="C15" s="1351"/>
      <c r="D15" s="1351"/>
      <c r="E15" s="1039" t="str">
        <f t="shared" si="2"/>
        <v/>
      </c>
      <c r="F15" s="1349" t="str">
        <f t="shared" si="3"/>
        <v/>
      </c>
      <c r="G15" s="1349"/>
      <c r="H15" s="1349"/>
      <c r="I15" s="1366"/>
      <c r="J15" s="1366"/>
      <c r="K15" s="1351"/>
      <c r="L15" s="1352"/>
      <c r="M15" s="1352"/>
      <c r="N15" s="795" t="str">
        <f t="shared" si="0"/>
        <v/>
      </c>
      <c r="O15" s="1349" t="str">
        <f t="shared" si="1"/>
        <v/>
      </c>
      <c r="P15" s="1349"/>
      <c r="Q15" s="1350"/>
    </row>
    <row r="16" spans="2:17" ht="16" x14ac:dyDescent="0.2">
      <c r="B16" s="1351"/>
      <c r="C16" s="1351"/>
      <c r="D16" s="1351"/>
      <c r="E16" s="1039" t="str">
        <f t="shared" si="2"/>
        <v/>
      </c>
      <c r="F16" s="1349" t="str">
        <f t="shared" si="3"/>
        <v/>
      </c>
      <c r="G16" s="1349"/>
      <c r="H16" s="1349"/>
      <c r="I16" s="1366"/>
      <c r="J16" s="1366"/>
      <c r="K16" s="1351"/>
      <c r="L16" s="1352"/>
      <c r="M16" s="1352"/>
      <c r="N16" s="795" t="str">
        <f t="shared" si="0"/>
        <v/>
      </c>
      <c r="O16" s="1349" t="str">
        <f t="shared" si="1"/>
        <v/>
      </c>
      <c r="P16" s="1349"/>
      <c r="Q16" s="1350"/>
    </row>
    <row r="17" spans="2:17" ht="16" x14ac:dyDescent="0.2">
      <c r="B17" s="1351"/>
      <c r="C17" s="1351"/>
      <c r="D17" s="1351"/>
      <c r="E17" s="1039" t="str">
        <f t="shared" si="2"/>
        <v/>
      </c>
      <c r="F17" s="1349" t="str">
        <f t="shared" si="3"/>
        <v/>
      </c>
      <c r="G17" s="1349"/>
      <c r="H17" s="1349"/>
      <c r="I17" s="1366"/>
      <c r="J17" s="1366"/>
      <c r="K17" s="1351"/>
      <c r="L17" s="1352"/>
      <c r="M17" s="1352"/>
      <c r="N17" s="795" t="str">
        <f t="shared" si="0"/>
        <v/>
      </c>
      <c r="O17" s="1349" t="str">
        <f t="shared" si="1"/>
        <v/>
      </c>
      <c r="P17" s="1349"/>
      <c r="Q17" s="1350"/>
    </row>
    <row r="18" spans="2:17" ht="16" x14ac:dyDescent="0.2">
      <c r="B18" s="1351"/>
      <c r="C18" s="1351"/>
      <c r="D18" s="1351"/>
      <c r="E18" s="1039" t="str">
        <f t="shared" si="2"/>
        <v/>
      </c>
      <c r="F18" s="1349" t="str">
        <f t="shared" si="3"/>
        <v/>
      </c>
      <c r="G18" s="1349"/>
      <c r="H18" s="1349"/>
      <c r="I18" s="1366"/>
      <c r="J18" s="1366"/>
      <c r="K18" s="1351"/>
      <c r="L18" s="1352"/>
      <c r="M18" s="1352"/>
      <c r="N18" s="795" t="str">
        <f t="shared" si="0"/>
        <v/>
      </c>
      <c r="O18" s="1349" t="str">
        <f t="shared" si="1"/>
        <v/>
      </c>
      <c r="P18" s="1349"/>
      <c r="Q18" s="1350"/>
    </row>
    <row r="19" spans="2:17" ht="16" x14ac:dyDescent="0.2">
      <c r="B19" s="1351"/>
      <c r="C19" s="1351"/>
      <c r="D19" s="1351"/>
      <c r="E19" s="1039" t="str">
        <f t="shared" si="2"/>
        <v/>
      </c>
      <c r="F19" s="1349" t="str">
        <f t="shared" si="3"/>
        <v/>
      </c>
      <c r="G19" s="1349"/>
      <c r="H19" s="1349"/>
      <c r="I19" s="1366"/>
      <c r="J19" s="1366"/>
      <c r="K19" s="1351"/>
      <c r="L19" s="1352"/>
      <c r="M19" s="1352"/>
      <c r="N19" s="795" t="str">
        <f t="shared" si="0"/>
        <v/>
      </c>
      <c r="O19" s="1349" t="str">
        <f t="shared" si="1"/>
        <v/>
      </c>
      <c r="P19" s="1349"/>
      <c r="Q19" s="1350"/>
    </row>
    <row r="20" spans="2:17" ht="16" x14ac:dyDescent="0.2">
      <c r="B20" s="1351"/>
      <c r="C20" s="1351"/>
      <c r="D20" s="1351"/>
      <c r="E20" s="1039" t="str">
        <f t="shared" si="2"/>
        <v/>
      </c>
      <c r="F20" s="1349" t="str">
        <f t="shared" si="3"/>
        <v/>
      </c>
      <c r="G20" s="1349"/>
      <c r="H20" s="1349"/>
      <c r="I20" s="1366"/>
      <c r="J20" s="1366"/>
      <c r="K20" s="1351"/>
      <c r="L20" s="1352"/>
      <c r="M20" s="1352"/>
      <c r="N20" s="795" t="str">
        <f t="shared" si="0"/>
        <v/>
      </c>
      <c r="O20" s="1349" t="str">
        <f t="shared" si="1"/>
        <v/>
      </c>
      <c r="P20" s="1349"/>
      <c r="Q20" s="1350"/>
    </row>
    <row r="21" spans="2:17" ht="16" x14ac:dyDescent="0.2">
      <c r="B21" s="1351"/>
      <c r="C21" s="1351"/>
      <c r="D21" s="1351"/>
      <c r="E21" s="1039" t="str">
        <f t="shared" si="2"/>
        <v/>
      </c>
      <c r="F21" s="1349" t="str">
        <f t="shared" si="3"/>
        <v/>
      </c>
      <c r="G21" s="1349"/>
      <c r="H21" s="1349"/>
      <c r="I21" s="1366"/>
      <c r="J21" s="1366"/>
      <c r="K21" s="1351"/>
      <c r="L21" s="1352"/>
      <c r="M21" s="1352"/>
      <c r="N21" s="795" t="str">
        <f t="shared" si="0"/>
        <v/>
      </c>
      <c r="O21" s="1349" t="str">
        <f t="shared" si="1"/>
        <v/>
      </c>
      <c r="P21" s="1349"/>
      <c r="Q21" s="1350"/>
    </row>
    <row r="22" spans="2:17" ht="16" x14ac:dyDescent="0.2">
      <c r="B22" s="1351"/>
      <c r="C22" s="1351"/>
      <c r="D22" s="1351"/>
      <c r="E22" s="1039" t="str">
        <f t="shared" si="2"/>
        <v/>
      </c>
      <c r="F22" s="1349" t="str">
        <f t="shared" si="3"/>
        <v/>
      </c>
      <c r="G22" s="1349"/>
      <c r="H22" s="1349"/>
      <c r="I22" s="1366"/>
      <c r="J22" s="1366"/>
      <c r="K22" s="1351"/>
      <c r="L22" s="1352"/>
      <c r="M22" s="1352"/>
      <c r="N22" s="795" t="str">
        <f t="shared" si="0"/>
        <v/>
      </c>
      <c r="O22" s="1349" t="str">
        <f t="shared" si="1"/>
        <v/>
      </c>
      <c r="P22" s="1349"/>
      <c r="Q22" s="1350"/>
    </row>
    <row r="23" spans="2:17" ht="16" x14ac:dyDescent="0.2">
      <c r="B23" s="1351"/>
      <c r="C23" s="1351"/>
      <c r="D23" s="1351"/>
      <c r="E23" s="1039" t="str">
        <f t="shared" si="2"/>
        <v/>
      </c>
      <c r="F23" s="1349" t="str">
        <f t="shared" si="3"/>
        <v/>
      </c>
      <c r="G23" s="1349"/>
      <c r="H23" s="1349"/>
      <c r="I23" s="1366"/>
      <c r="J23" s="1366"/>
      <c r="K23" s="1351"/>
      <c r="L23" s="1352"/>
      <c r="M23" s="1352"/>
      <c r="N23" s="795" t="str">
        <f t="shared" si="0"/>
        <v/>
      </c>
      <c r="O23" s="1349" t="str">
        <f t="shared" si="1"/>
        <v/>
      </c>
      <c r="P23" s="1349"/>
      <c r="Q23" s="1350"/>
    </row>
    <row r="24" spans="2:17" ht="16" x14ac:dyDescent="0.2">
      <c r="B24" s="1351"/>
      <c r="C24" s="1351"/>
      <c r="D24" s="1351"/>
      <c r="E24" s="1039" t="str">
        <f t="shared" si="2"/>
        <v/>
      </c>
      <c r="F24" s="1349" t="str">
        <f t="shared" si="3"/>
        <v/>
      </c>
      <c r="G24" s="1349"/>
      <c r="H24" s="1349"/>
      <c r="I24" s="1366"/>
      <c r="J24" s="1366"/>
      <c r="K24" s="1351"/>
      <c r="L24" s="1352"/>
      <c r="M24" s="1352"/>
      <c r="N24" s="795" t="str">
        <f t="shared" si="0"/>
        <v/>
      </c>
      <c r="O24" s="1349" t="str">
        <f t="shared" si="1"/>
        <v/>
      </c>
      <c r="P24" s="1349"/>
      <c r="Q24" s="1350"/>
    </row>
    <row r="25" spans="2:17" ht="16" x14ac:dyDescent="0.2">
      <c r="B25" s="1351"/>
      <c r="C25" s="1351"/>
      <c r="D25" s="1351"/>
      <c r="E25" s="1039" t="str">
        <f t="shared" si="2"/>
        <v/>
      </c>
      <c r="F25" s="1349" t="str">
        <f t="shared" si="3"/>
        <v/>
      </c>
      <c r="G25" s="1349"/>
      <c r="H25" s="1349"/>
      <c r="I25" s="1366"/>
      <c r="J25" s="1366"/>
      <c r="K25" s="1351"/>
      <c r="L25" s="1352"/>
      <c r="M25" s="1352"/>
      <c r="N25" s="795" t="str">
        <f t="shared" si="0"/>
        <v/>
      </c>
      <c r="O25" s="1349" t="str">
        <f t="shared" si="1"/>
        <v/>
      </c>
      <c r="P25" s="1349"/>
      <c r="Q25" s="1350"/>
    </row>
    <row r="26" spans="2:17" ht="16" x14ac:dyDescent="0.2">
      <c r="B26" s="1351"/>
      <c r="C26" s="1351"/>
      <c r="D26" s="1351"/>
      <c r="E26" s="1039" t="str">
        <f t="shared" si="2"/>
        <v/>
      </c>
      <c r="F26" s="1349" t="str">
        <f t="shared" si="3"/>
        <v/>
      </c>
      <c r="G26" s="1349"/>
      <c r="H26" s="1349"/>
      <c r="I26" s="1366"/>
      <c r="J26" s="1366"/>
      <c r="K26" s="1351"/>
      <c r="L26" s="1352"/>
      <c r="M26" s="1352"/>
      <c r="N26" s="795" t="str">
        <f t="shared" si="0"/>
        <v/>
      </c>
      <c r="O26" s="1349" t="str">
        <f t="shared" si="1"/>
        <v/>
      </c>
      <c r="P26" s="1349"/>
      <c r="Q26" s="1350"/>
    </row>
    <row r="27" spans="2:17" ht="16" x14ac:dyDescent="0.2">
      <c r="B27" s="1351"/>
      <c r="C27" s="1351"/>
      <c r="D27" s="1351"/>
      <c r="E27" s="1039" t="str">
        <f t="shared" si="2"/>
        <v/>
      </c>
      <c r="F27" s="1349" t="str">
        <f t="shared" si="3"/>
        <v/>
      </c>
      <c r="G27" s="1349"/>
      <c r="H27" s="1349"/>
      <c r="I27" s="1366"/>
      <c r="J27" s="1366"/>
      <c r="K27" s="1351"/>
      <c r="L27" s="1352"/>
      <c r="M27" s="1352"/>
      <c r="N27" s="795" t="str">
        <f t="shared" si="0"/>
        <v/>
      </c>
      <c r="O27" s="1349" t="str">
        <f t="shared" si="1"/>
        <v/>
      </c>
      <c r="P27" s="1349"/>
      <c r="Q27" s="1350"/>
    </row>
    <row r="28" spans="2:17" ht="16" x14ac:dyDescent="0.2">
      <c r="B28" s="1351"/>
      <c r="C28" s="1351"/>
      <c r="D28" s="1351"/>
      <c r="E28" s="1039" t="str">
        <f t="shared" si="2"/>
        <v/>
      </c>
      <c r="F28" s="1349" t="str">
        <f t="shared" si="3"/>
        <v/>
      </c>
      <c r="G28" s="1349"/>
      <c r="H28" s="1349"/>
      <c r="I28" s="1366"/>
      <c r="J28" s="1366"/>
      <c r="K28" s="1351"/>
      <c r="L28" s="1352"/>
      <c r="M28" s="1352"/>
      <c r="N28" s="795" t="str">
        <f t="shared" si="0"/>
        <v/>
      </c>
      <c r="O28" s="1349" t="str">
        <f t="shared" si="1"/>
        <v/>
      </c>
      <c r="P28" s="1349"/>
      <c r="Q28" s="1350"/>
    </row>
    <row r="29" spans="2:17" ht="16" x14ac:dyDescent="0.2">
      <c r="B29" s="1351"/>
      <c r="C29" s="1351"/>
      <c r="D29" s="1351"/>
      <c r="E29" s="1039" t="str">
        <f t="shared" si="2"/>
        <v/>
      </c>
      <c r="F29" s="1349" t="str">
        <f t="shared" si="3"/>
        <v/>
      </c>
      <c r="G29" s="1349"/>
      <c r="H29" s="1349"/>
      <c r="I29" s="1366"/>
      <c r="J29" s="1366"/>
      <c r="K29" s="1351"/>
      <c r="L29" s="1352"/>
      <c r="M29" s="1352"/>
      <c r="N29" s="795" t="str">
        <f t="shared" si="0"/>
        <v/>
      </c>
      <c r="O29" s="1349" t="str">
        <f t="shared" si="1"/>
        <v/>
      </c>
      <c r="P29" s="1349"/>
      <c r="Q29" s="1350"/>
    </row>
    <row r="30" spans="2:17" ht="16" x14ac:dyDescent="0.2">
      <c r="B30" s="1351"/>
      <c r="C30" s="1351"/>
      <c r="D30" s="1351"/>
      <c r="E30" s="1039" t="str">
        <f t="shared" si="2"/>
        <v/>
      </c>
      <c r="F30" s="1349" t="str">
        <f t="shared" si="3"/>
        <v/>
      </c>
      <c r="G30" s="1349"/>
      <c r="H30" s="1349"/>
      <c r="I30" s="1366"/>
      <c r="J30" s="1366"/>
      <c r="K30" s="1351"/>
      <c r="L30" s="1352"/>
      <c r="M30" s="1352"/>
      <c r="N30" s="795" t="str">
        <f t="shared" si="0"/>
        <v/>
      </c>
      <c r="O30" s="1349" t="str">
        <f t="shared" si="1"/>
        <v/>
      </c>
      <c r="P30" s="1349"/>
      <c r="Q30" s="1350"/>
    </row>
    <row r="31" spans="2:17" ht="16" x14ac:dyDescent="0.2">
      <c r="B31" s="1351"/>
      <c r="C31" s="1351"/>
      <c r="D31" s="1351"/>
      <c r="E31" s="1039" t="str">
        <f t="shared" si="2"/>
        <v/>
      </c>
      <c r="F31" s="1349" t="str">
        <f t="shared" si="3"/>
        <v/>
      </c>
      <c r="G31" s="1349"/>
      <c r="H31" s="1349"/>
      <c r="I31" s="1366"/>
      <c r="J31" s="1366"/>
      <c r="K31" s="1351"/>
      <c r="L31" s="1352"/>
      <c r="M31" s="1352"/>
      <c r="N31" s="795" t="str">
        <f t="shared" si="0"/>
        <v/>
      </c>
      <c r="O31" s="1349" t="str">
        <f t="shared" si="1"/>
        <v/>
      </c>
      <c r="P31" s="1349"/>
      <c r="Q31" s="1350"/>
    </row>
    <row r="32" spans="2:17" ht="16" x14ac:dyDescent="0.2">
      <c r="B32" s="1351"/>
      <c r="C32" s="1351"/>
      <c r="D32" s="1351"/>
      <c r="E32" s="1039" t="str">
        <f t="shared" si="2"/>
        <v/>
      </c>
      <c r="F32" s="1349" t="str">
        <f t="shared" si="3"/>
        <v/>
      </c>
      <c r="G32" s="1349"/>
      <c r="H32" s="1349"/>
      <c r="I32" s="1366"/>
      <c r="J32" s="1366"/>
      <c r="K32" s="1351"/>
      <c r="L32" s="1352"/>
      <c r="M32" s="1352"/>
      <c r="N32" s="795" t="str">
        <f t="shared" si="0"/>
        <v/>
      </c>
      <c r="O32" s="1349" t="str">
        <f t="shared" si="1"/>
        <v/>
      </c>
      <c r="P32" s="1349"/>
      <c r="Q32" s="1350"/>
    </row>
    <row r="33" spans="2:17" ht="16" x14ac:dyDescent="0.2">
      <c r="B33" s="1351"/>
      <c r="C33" s="1351"/>
      <c r="D33" s="1351"/>
      <c r="E33" s="1039" t="str">
        <f t="shared" si="2"/>
        <v/>
      </c>
      <c r="F33" s="1349" t="str">
        <f t="shared" si="3"/>
        <v/>
      </c>
      <c r="G33" s="1349"/>
      <c r="H33" s="1349"/>
      <c r="I33" s="1366"/>
      <c r="J33" s="1366"/>
      <c r="K33" s="1351"/>
      <c r="L33" s="1352"/>
      <c r="M33" s="1352"/>
      <c r="N33" s="795" t="str">
        <f t="shared" si="0"/>
        <v/>
      </c>
      <c r="O33" s="1349" t="str">
        <f t="shared" si="1"/>
        <v/>
      </c>
      <c r="P33" s="1349"/>
      <c r="Q33" s="1350"/>
    </row>
    <row r="34" spans="2:17" ht="16" x14ac:dyDescent="0.2">
      <c r="B34" s="1351"/>
      <c r="C34" s="1351"/>
      <c r="D34" s="1351"/>
      <c r="E34" s="1040" t="str">
        <f t="shared" si="2"/>
        <v/>
      </c>
      <c r="F34" s="1353" t="str">
        <f t="shared" si="3"/>
        <v/>
      </c>
      <c r="G34" s="1353"/>
      <c r="H34" s="1353"/>
      <c r="I34" s="1246"/>
      <c r="J34" s="1246"/>
      <c r="K34" s="1351"/>
      <c r="L34" s="1352"/>
      <c r="M34" s="1352"/>
      <c r="N34" s="969" t="str">
        <f t="shared" si="0"/>
        <v/>
      </c>
      <c r="O34" s="1353" t="str">
        <f t="shared" si="1"/>
        <v/>
      </c>
      <c r="P34" s="1353"/>
      <c r="Q34" s="1354"/>
    </row>
    <row r="35" spans="2:17" x14ac:dyDescent="0.2">
      <c r="B35" s="1259" t="s">
        <v>124</v>
      </c>
      <c r="C35" s="1260"/>
      <c r="D35" s="1260"/>
      <c r="E35" s="1261"/>
    </row>
  </sheetData>
  <mergeCells count="104">
    <mergeCell ref="B35:E35"/>
    <mergeCell ref="O9:Q9"/>
    <mergeCell ref="O10:Q11"/>
    <mergeCell ref="B12:D12"/>
    <mergeCell ref="F12:H12"/>
    <mergeCell ref="B9:D11"/>
    <mergeCell ref="F9:H9"/>
    <mergeCell ref="F10:H11"/>
    <mergeCell ref="K9:M11"/>
    <mergeCell ref="B33:D33"/>
    <mergeCell ref="B34:D34"/>
    <mergeCell ref="F24:H24"/>
    <mergeCell ref="F25:H25"/>
    <mergeCell ref="F26:H26"/>
    <mergeCell ref="B28:D28"/>
    <mergeCell ref="B29:D29"/>
    <mergeCell ref="B30:D30"/>
    <mergeCell ref="B31:D31"/>
    <mergeCell ref="B32:D32"/>
    <mergeCell ref="B23:D23"/>
    <mergeCell ref="B24:D24"/>
    <mergeCell ref="B25:D25"/>
    <mergeCell ref="O18:Q18"/>
    <mergeCell ref="K19:M19"/>
    <mergeCell ref="B16:D16"/>
    <mergeCell ref="B17:D17"/>
    <mergeCell ref="F13:H13"/>
    <mergeCell ref="F14:H14"/>
    <mergeCell ref="F15:H15"/>
    <mergeCell ref="F16:H16"/>
    <mergeCell ref="F17:H17"/>
    <mergeCell ref="F18:H18"/>
    <mergeCell ref="F19:H19"/>
    <mergeCell ref="F32:H32"/>
    <mergeCell ref="F33:H33"/>
    <mergeCell ref="F34:H34"/>
    <mergeCell ref="F27:H27"/>
    <mergeCell ref="F28:H28"/>
    <mergeCell ref="F29:H29"/>
    <mergeCell ref="F30:H30"/>
    <mergeCell ref="F31:H31"/>
    <mergeCell ref="K31:M31"/>
    <mergeCell ref="I9:J34"/>
    <mergeCell ref="K27:M27"/>
    <mergeCell ref="K28:M28"/>
    <mergeCell ref="K29:M29"/>
    <mergeCell ref="K20:M20"/>
    <mergeCell ref="F23:H23"/>
    <mergeCell ref="K33:M33"/>
    <mergeCell ref="K23:M23"/>
    <mergeCell ref="K24:M24"/>
    <mergeCell ref="K25:M25"/>
    <mergeCell ref="K26:M26"/>
    <mergeCell ref="F20:H20"/>
    <mergeCell ref="F21:H21"/>
    <mergeCell ref="F22:H22"/>
    <mergeCell ref="B1:Q1"/>
    <mergeCell ref="B2:Q2"/>
    <mergeCell ref="B3:Q3"/>
    <mergeCell ref="O31:Q31"/>
    <mergeCell ref="O27:Q27"/>
    <mergeCell ref="O28:Q28"/>
    <mergeCell ref="O29:Q29"/>
    <mergeCell ref="O17:Q17"/>
    <mergeCell ref="O19:Q19"/>
    <mergeCell ref="O20:Q20"/>
    <mergeCell ref="O24:Q24"/>
    <mergeCell ref="O25:Q25"/>
    <mergeCell ref="O26:Q26"/>
    <mergeCell ref="B4:Q7"/>
    <mergeCell ref="B26:D26"/>
    <mergeCell ref="B27:D27"/>
    <mergeCell ref="B18:D18"/>
    <mergeCell ref="B19:D19"/>
    <mergeCell ref="B20:D20"/>
    <mergeCell ref="B21:D21"/>
    <mergeCell ref="B22:D22"/>
    <mergeCell ref="B13:D13"/>
    <mergeCell ref="B14:D14"/>
    <mergeCell ref="B15:D15"/>
    <mergeCell ref="O33:Q33"/>
    <mergeCell ref="K34:M34"/>
    <mergeCell ref="O34:Q34"/>
    <mergeCell ref="K12:M12"/>
    <mergeCell ref="K13:M13"/>
    <mergeCell ref="K14:M14"/>
    <mergeCell ref="K15:M15"/>
    <mergeCell ref="K16:M16"/>
    <mergeCell ref="K17:M17"/>
    <mergeCell ref="K18:M18"/>
    <mergeCell ref="O12:Q12"/>
    <mergeCell ref="O13:Q13"/>
    <mergeCell ref="O14:Q14"/>
    <mergeCell ref="O15:Q15"/>
    <mergeCell ref="O16:Q16"/>
    <mergeCell ref="K30:M30"/>
    <mergeCell ref="O23:Q23"/>
    <mergeCell ref="O30:Q30"/>
    <mergeCell ref="K32:M32"/>
    <mergeCell ref="O32:Q32"/>
    <mergeCell ref="K21:M21"/>
    <mergeCell ref="O21:Q21"/>
    <mergeCell ref="K22:M22"/>
    <mergeCell ref="O22:Q22"/>
  </mergeCells>
  <hyperlinks>
    <hyperlink ref="B3:F3" location="FullDataLanding" display="Return to Planning Page" xr:uid="{F2D8A2AC-8F1F-4DE3-95AA-D5379B47763F}"/>
    <hyperlink ref="B35:D35" location="FullDataLanding" display="Return to Planning Page" xr:uid="{545CA0B0-5ED4-45FD-8415-8E720191DE1C}"/>
    <hyperlink ref="B35:E35" location="FullDataLanding" display="Return to Home Page" xr:uid="{F995E093-93E1-422F-A00D-B78C4EDC8963}"/>
  </hyperlink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DD293D0-D173-4CBF-B86D-6F6D9DC3BFF0}">
          <x14:formula1>
            <xm:f>'Dropdown Menu Options'!$D$75:$M$75</xm:f>
          </x14:formula1>
          <xm:sqref>K9:M11 B9:D11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585C7-5595-4FE0-A5D7-E1EF57C2AF38}">
  <sheetPr>
    <tabColor rgb="FF00B050"/>
  </sheetPr>
  <dimension ref="A1:X78"/>
  <sheetViews>
    <sheetView showGridLines="0" workbookViewId="0">
      <selection activeCell="D15" sqref="D15:E15"/>
    </sheetView>
  </sheetViews>
  <sheetFormatPr baseColWidth="10" defaultColWidth="8.83203125" defaultRowHeight="15" x14ac:dyDescent="0.2"/>
  <cols>
    <col min="1" max="1" width="2.5" customWidth="1"/>
    <col min="2" max="2" width="19.33203125" customWidth="1"/>
    <col min="3" max="3" width="29.6640625" bestFit="1" customWidth="1"/>
    <col min="4" max="4" width="23.5" customWidth="1"/>
    <col min="5" max="5" width="16" customWidth="1"/>
    <col min="6" max="6" width="30.5" customWidth="1"/>
    <col min="7" max="7" width="26.33203125" customWidth="1"/>
    <col min="8" max="8" width="16" customWidth="1"/>
    <col min="9" max="9" width="21.6640625" customWidth="1"/>
    <col min="10" max="10" width="11.6640625" customWidth="1"/>
    <col min="11" max="11" width="15" customWidth="1"/>
    <col min="12" max="12" width="17.6640625" customWidth="1"/>
    <col min="13" max="13" width="25.33203125" customWidth="1"/>
    <col min="20" max="20" width="9.33203125" customWidth="1"/>
    <col min="21" max="21" width="13.6640625" hidden="1" customWidth="1"/>
    <col min="22" max="22" width="8.6640625" hidden="1" customWidth="1"/>
    <col min="23" max="23" width="20.6640625" hidden="1" customWidth="1"/>
    <col min="24" max="24" width="8.6640625" hidden="1" customWidth="1"/>
    <col min="25" max="25" width="13.6640625" bestFit="1" customWidth="1"/>
  </cols>
  <sheetData>
    <row r="1" spans="1:24" ht="15.75" customHeight="1" x14ac:dyDescent="0.2">
      <c r="A1" s="5"/>
      <c r="B1" s="1159" t="s">
        <v>0</v>
      </c>
      <c r="C1" s="1160"/>
      <c r="D1" s="1160"/>
      <c r="E1" s="1160"/>
      <c r="F1" s="1160"/>
      <c r="G1" s="1160"/>
      <c r="H1" s="1160"/>
      <c r="I1" s="1160"/>
      <c r="J1" s="1160"/>
      <c r="K1" s="1160"/>
      <c r="L1" s="1160"/>
      <c r="M1" s="1160"/>
      <c r="N1" s="1160"/>
      <c r="O1" s="1160"/>
      <c r="P1" s="1160"/>
      <c r="Q1" s="1160"/>
      <c r="R1" s="665"/>
    </row>
    <row r="2" spans="1:24" ht="21" customHeight="1" x14ac:dyDescent="0.2">
      <c r="A2" s="5"/>
      <c r="B2" s="1161" t="s">
        <v>1</v>
      </c>
      <c r="C2" s="1162"/>
      <c r="D2" s="1333"/>
      <c r="E2" s="1333"/>
      <c r="F2" s="1333"/>
      <c r="G2" s="1333"/>
      <c r="H2" s="1333"/>
      <c r="I2" s="1333"/>
      <c r="J2" s="1333"/>
      <c r="K2" s="1333"/>
      <c r="L2" s="1333"/>
      <c r="M2" s="1333"/>
      <c r="N2" s="1333"/>
      <c r="O2" s="1333"/>
      <c r="P2" s="1333"/>
      <c r="Q2" s="1333"/>
      <c r="R2" s="32"/>
    </row>
    <row r="3" spans="1:24" ht="14.75" customHeight="1" x14ac:dyDescent="0.2">
      <c r="A3" s="5"/>
      <c r="B3" s="713"/>
      <c r="C3" s="714"/>
      <c r="D3" s="1206" t="s">
        <v>126</v>
      </c>
      <c r="E3" s="1169"/>
      <c r="F3" s="1169"/>
      <c r="G3" s="1169"/>
      <c r="H3" s="1128"/>
      <c r="I3" s="1129"/>
      <c r="J3" s="1129"/>
      <c r="K3" s="1129"/>
      <c r="L3" s="1129"/>
      <c r="M3" s="1129"/>
      <c r="N3" s="1129"/>
      <c r="O3" s="1129"/>
      <c r="P3" s="1129"/>
      <c r="Q3" s="1129"/>
      <c r="R3" s="1130"/>
    </row>
    <row r="4" spans="1:24" ht="18" x14ac:dyDescent="0.2">
      <c r="A4" s="757"/>
      <c r="B4" s="1163" t="s">
        <v>612</v>
      </c>
      <c r="C4" s="1165"/>
      <c r="D4" s="1164"/>
      <c r="E4" s="1164"/>
      <c r="F4" s="1164"/>
      <c r="G4" s="1164"/>
      <c r="H4" s="1164"/>
      <c r="I4" s="1164"/>
      <c r="J4" s="1164"/>
      <c r="K4" s="1164"/>
      <c r="L4" s="1164"/>
      <c r="M4" s="1164"/>
      <c r="N4" s="1164"/>
      <c r="O4" s="1164"/>
      <c r="P4" s="1164"/>
      <c r="Q4" s="1164"/>
      <c r="R4" s="112"/>
    </row>
    <row r="5" spans="1:24" ht="14.75" customHeight="1" x14ac:dyDescent="0.2">
      <c r="A5" s="757"/>
      <c r="B5" s="1374" t="s">
        <v>613</v>
      </c>
      <c r="C5" s="1375"/>
      <c r="D5" s="1375"/>
      <c r="E5" s="1375"/>
      <c r="F5" s="1375"/>
      <c r="G5" s="1375"/>
      <c r="H5" s="1376"/>
      <c r="I5" s="757"/>
      <c r="J5" s="757"/>
      <c r="K5" s="757"/>
      <c r="L5" s="757"/>
      <c r="M5" s="757"/>
      <c r="N5" s="748"/>
      <c r="R5" s="112"/>
    </row>
    <row r="6" spans="1:24" x14ac:dyDescent="0.2">
      <c r="A6" s="757"/>
      <c r="B6" s="1377"/>
      <c r="C6" s="1378"/>
      <c r="D6" s="1378"/>
      <c r="E6" s="1378"/>
      <c r="F6" s="1378"/>
      <c r="G6" s="1378"/>
      <c r="H6" s="1379"/>
      <c r="I6" s="757"/>
      <c r="J6" s="757"/>
      <c r="K6" s="757"/>
      <c r="L6" s="757"/>
      <c r="M6" s="757"/>
      <c r="N6" s="748"/>
      <c r="R6" s="112"/>
    </row>
    <row r="7" spans="1:24" x14ac:dyDescent="0.2">
      <c r="A7" s="757"/>
      <c r="B7" s="1377"/>
      <c r="C7" s="1378"/>
      <c r="D7" s="1378"/>
      <c r="E7" s="1378"/>
      <c r="F7" s="1378"/>
      <c r="G7" s="1378"/>
      <c r="H7" s="1379"/>
      <c r="I7" s="757"/>
      <c r="J7" s="757"/>
      <c r="K7" s="757"/>
      <c r="L7" s="757"/>
      <c r="M7" s="757"/>
      <c r="N7" s="748"/>
      <c r="R7" s="112"/>
    </row>
    <row r="8" spans="1:24" x14ac:dyDescent="0.2">
      <c r="A8" s="757"/>
      <c r="B8" s="1377"/>
      <c r="C8" s="1378"/>
      <c r="D8" s="1378"/>
      <c r="E8" s="1378"/>
      <c r="F8" s="1378"/>
      <c r="G8" s="1378"/>
      <c r="H8" s="1379"/>
      <c r="I8" s="757"/>
      <c r="J8" s="757"/>
      <c r="K8" s="757"/>
      <c r="L8" s="757"/>
      <c r="M8" s="757"/>
      <c r="N8" s="748"/>
      <c r="R8" s="112"/>
    </row>
    <row r="9" spans="1:24" x14ac:dyDescent="0.2">
      <c r="A9" s="757"/>
      <c r="B9" s="1377"/>
      <c r="C9" s="1378"/>
      <c r="D9" s="1378"/>
      <c r="E9" s="1378"/>
      <c r="F9" s="1378"/>
      <c r="G9" s="1378"/>
      <c r="H9" s="1379"/>
      <c r="I9" s="757"/>
      <c r="J9" s="757"/>
      <c r="K9" s="1093"/>
      <c r="L9" s="757"/>
      <c r="M9" s="757"/>
      <c r="N9" s="748"/>
      <c r="R9" s="112"/>
      <c r="U9" t="s">
        <v>614</v>
      </c>
      <c r="V9" t="s">
        <v>615</v>
      </c>
      <c r="W9" t="s">
        <v>616</v>
      </c>
      <c r="X9" t="s">
        <v>617</v>
      </c>
    </row>
    <row r="10" spans="1:24" x14ac:dyDescent="0.2">
      <c r="A10" s="757"/>
      <c r="B10" s="1377"/>
      <c r="C10" s="1378"/>
      <c r="D10" s="1378"/>
      <c r="E10" s="1378"/>
      <c r="F10" s="1378"/>
      <c r="G10" s="1378"/>
      <c r="H10" s="1379"/>
      <c r="I10" s="757"/>
      <c r="J10" s="757"/>
      <c r="K10" s="757"/>
      <c r="L10" s="757"/>
      <c r="M10" s="757"/>
      <c r="N10" s="748"/>
      <c r="R10" s="112"/>
    </row>
    <row r="11" spans="1:24" x14ac:dyDescent="0.2">
      <c r="A11" s="757"/>
      <c r="B11" s="1380"/>
      <c r="C11" s="1381"/>
      <c r="D11" s="1381"/>
      <c r="E11" s="1381"/>
      <c r="F11" s="1381"/>
      <c r="G11" s="1381"/>
      <c r="H11" s="1382"/>
      <c r="I11" s="757"/>
      <c r="J11" s="757"/>
      <c r="L11" s="757"/>
      <c r="M11" s="757"/>
      <c r="N11" s="748"/>
      <c r="R11" s="112"/>
    </row>
    <row r="12" spans="1:24" x14ac:dyDescent="0.2">
      <c r="A12" s="757"/>
      <c r="B12" s="1025"/>
      <c r="C12" s="757"/>
      <c r="D12" s="757"/>
      <c r="E12" s="757"/>
      <c r="F12" s="757"/>
      <c r="G12" s="757"/>
      <c r="H12" s="757"/>
      <c r="I12" s="757"/>
      <c r="J12" s="757"/>
      <c r="K12" s="757"/>
      <c r="L12" s="757"/>
      <c r="M12" s="757"/>
      <c r="N12" s="748"/>
      <c r="R12" s="112"/>
    </row>
    <row r="13" spans="1:24" x14ac:dyDescent="0.2">
      <c r="A13" s="757"/>
      <c r="B13" s="1025"/>
      <c r="C13" s="757"/>
      <c r="D13" s="757"/>
      <c r="E13" s="757"/>
      <c r="F13" s="757"/>
      <c r="G13" s="757"/>
      <c r="H13" s="757"/>
      <c r="I13" s="757"/>
      <c r="J13" s="757"/>
      <c r="K13" s="757"/>
      <c r="L13" s="757"/>
      <c r="M13" s="757"/>
      <c r="N13" s="1026"/>
      <c r="R13" s="112"/>
    </row>
    <row r="14" spans="1:24" x14ac:dyDescent="0.2">
      <c r="B14" s="789"/>
      <c r="C14" s="1030"/>
      <c r="R14" s="112"/>
    </row>
    <row r="15" spans="1:24" ht="28.25" customHeight="1" x14ac:dyDescent="0.2">
      <c r="B15" s="1027" t="s">
        <v>618</v>
      </c>
      <c r="C15" s="1031" t="s">
        <v>614</v>
      </c>
      <c r="D15" s="1393" t="str">
        <f>IF(C15=V9,"Input Custom values using the Custom Value Selector chart to the right   ---&gt;", "")</f>
        <v/>
      </c>
      <c r="E15" s="1394"/>
      <c r="I15" s="1387" t="s">
        <v>619</v>
      </c>
      <c r="J15" s="1388"/>
      <c r="K15" s="1388"/>
      <c r="L15" s="1388"/>
      <c r="M15" s="1389"/>
      <c r="R15" s="112"/>
    </row>
    <row r="16" spans="1:24" ht="19.25" customHeight="1" x14ac:dyDescent="0.2">
      <c r="B16" s="48"/>
      <c r="C16" s="112"/>
      <c r="I16" s="1390"/>
      <c r="J16" s="1391"/>
      <c r="K16" s="1391"/>
      <c r="L16" s="1391"/>
      <c r="M16" s="1392"/>
      <c r="R16" s="112"/>
    </row>
    <row r="17" spans="2:18" ht="52.25" customHeight="1" x14ac:dyDescent="0.2">
      <c r="B17" s="1383" t="s">
        <v>620</v>
      </c>
      <c r="C17" s="1384"/>
      <c r="D17" s="1385"/>
      <c r="E17" s="966" t="s">
        <v>621</v>
      </c>
      <c r="F17" s="181" t="s">
        <v>622</v>
      </c>
      <c r="G17" s="1034" t="s">
        <v>623</v>
      </c>
      <c r="I17" s="1386" t="s">
        <v>620</v>
      </c>
      <c r="J17" s="1386"/>
      <c r="K17" s="1386"/>
      <c r="L17" s="417" t="s">
        <v>621</v>
      </c>
      <c r="M17" s="181" t="s">
        <v>622</v>
      </c>
      <c r="R17" s="112"/>
    </row>
    <row r="18" spans="2:18" ht="28" x14ac:dyDescent="0.2">
      <c r="B18" s="972" t="s">
        <v>624</v>
      </c>
      <c r="C18" s="654" t="s">
        <v>625</v>
      </c>
      <c r="D18" s="124" t="s">
        <v>346</v>
      </c>
      <c r="E18" s="699" cm="1">
        <f t="array" ref="E18">_xlfn.SWITCH($C$15,$U$9,'Summary Ref Tables'!G54,$V$9,L18,$W$9,'Summary Ref Tables'!G74,$X$9,'Summary Ref Tables'!G94)</f>
        <v>0.2187093409966154</v>
      </c>
      <c r="F18" s="1035">
        <f>IF(GridMix="Custom",M18,G18)</f>
        <v>234.357293</v>
      </c>
      <c r="G18" s="1036">
        <v>234.357293</v>
      </c>
      <c r="I18" s="972" t="s">
        <v>624</v>
      </c>
      <c r="J18" s="654" t="s">
        <v>625</v>
      </c>
      <c r="K18" s="124" t="s">
        <v>346</v>
      </c>
      <c r="L18" s="1094"/>
      <c r="M18" s="1127">
        <v>234.357293</v>
      </c>
      <c r="R18" s="112"/>
    </row>
    <row r="19" spans="2:18" x14ac:dyDescent="0.2">
      <c r="B19" s="978"/>
      <c r="C19" s="655"/>
      <c r="D19" s="124" t="s">
        <v>344</v>
      </c>
      <c r="E19" s="699" cm="1">
        <f t="array" ref="E19">_xlfn.SWITCH($C$15,$U$9,'Summary Ref Tables'!G55,$V$9,L19,$W$9,'Summary Ref Tables'!G75,$X$9,'Summary Ref Tables'!G95)</f>
        <v>4.570879407585814E-3</v>
      </c>
      <c r="F19" s="1035">
        <f t="shared" ref="F19:F28" si="0">IF(GridMix="Custom",M19,G19)</f>
        <v>177.08288662500001</v>
      </c>
      <c r="G19" s="1036">
        <v>177.08288662500001</v>
      </c>
      <c r="I19" s="978"/>
      <c r="J19" s="655"/>
      <c r="K19" s="124" t="s">
        <v>344</v>
      </c>
      <c r="L19" s="1094"/>
      <c r="M19" s="1127">
        <v>177.08288662500001</v>
      </c>
      <c r="R19" s="112"/>
    </row>
    <row r="20" spans="2:18" x14ac:dyDescent="0.2">
      <c r="B20" s="978"/>
      <c r="C20" s="655"/>
      <c r="D20" s="124" t="s">
        <v>348</v>
      </c>
      <c r="E20" s="699" cm="1">
        <f t="array" ref="E20">_xlfn.SWITCH($C$15,$U$9,'Summary Ref Tables'!G56,$V$9,L20,$W$9,'Summary Ref Tables'!G76,$X$9,'Summary Ref Tables'!G96)</f>
        <v>0.38336008221171747</v>
      </c>
      <c r="F20" s="1035">
        <f t="shared" si="0"/>
        <v>130.61536699999999</v>
      </c>
      <c r="G20" s="1036">
        <v>130.61536699999999</v>
      </c>
      <c r="I20" s="978"/>
      <c r="J20" s="655"/>
      <c r="K20" s="124" t="s">
        <v>348</v>
      </c>
      <c r="L20" s="1094"/>
      <c r="M20" s="1127">
        <v>130.61536699999999</v>
      </c>
      <c r="R20" s="112"/>
    </row>
    <row r="21" spans="2:18" x14ac:dyDescent="0.2">
      <c r="B21" s="978"/>
      <c r="C21" s="656"/>
      <c r="D21" s="124" t="s">
        <v>626</v>
      </c>
      <c r="E21" s="699" cm="1">
        <f t="array" ref="E21">_xlfn.SWITCH($C$15,$U$9,'Summary Ref Tables'!G57,$V$9,L21,$W$9,'Summary Ref Tables'!G77,$X$9,'Summary Ref Tables'!G97)</f>
        <v>2.7459430184191102E-3</v>
      </c>
      <c r="F21" s="1035">
        <f t="shared" si="0"/>
        <v>127.126367</v>
      </c>
      <c r="G21" s="1036">
        <v>127.126367</v>
      </c>
      <c r="I21" s="978"/>
      <c r="J21" s="656"/>
      <c r="K21" s="124" t="s">
        <v>626</v>
      </c>
      <c r="L21" s="1094"/>
      <c r="M21" s="1127">
        <v>127.126367</v>
      </c>
      <c r="R21" s="112"/>
    </row>
    <row r="22" spans="2:18" x14ac:dyDescent="0.2">
      <c r="B22" s="978"/>
      <c r="C22" s="654" t="s">
        <v>627</v>
      </c>
      <c r="D22" s="124" t="s">
        <v>628</v>
      </c>
      <c r="E22" s="699" cm="1">
        <f t="array" ref="E22">_xlfn.SWITCH($C$15,$U$9,'Summary Ref Tables'!G58,$V$9,L22,$W$9,'Summary Ref Tables'!G78,$X$9,'Summary Ref Tables'!G98)</f>
        <v>0.18937695407879895</v>
      </c>
      <c r="F22" s="1035">
        <f t="shared" si="0"/>
        <v>7.7607179999999998</v>
      </c>
      <c r="G22" s="1036">
        <v>7.7607179999999998</v>
      </c>
      <c r="I22" s="978"/>
      <c r="J22" s="654" t="s">
        <v>627</v>
      </c>
      <c r="K22" s="124" t="s">
        <v>628</v>
      </c>
      <c r="L22" s="1094"/>
      <c r="M22" s="1127">
        <v>7.7607179999999998</v>
      </c>
      <c r="R22" s="112"/>
    </row>
    <row r="23" spans="2:18" x14ac:dyDescent="0.2">
      <c r="B23" s="978"/>
      <c r="C23" s="655"/>
      <c r="D23" s="124" t="s">
        <v>629</v>
      </c>
      <c r="E23" s="699" cm="1">
        <f t="array" ref="E23">_xlfn.SWITCH($C$15,$U$9,'Summary Ref Tables'!G59,$V$9,L23,$W$9,'Summary Ref Tables'!G79,$X$9,'Summary Ref Tables'!G99)</f>
        <v>6.333033618364256E-2</v>
      </c>
      <c r="F23" s="1035">
        <f t="shared" si="0"/>
        <v>15.521436</v>
      </c>
      <c r="G23" s="1036">
        <v>15.521436</v>
      </c>
      <c r="I23" s="978"/>
      <c r="J23" s="655"/>
      <c r="K23" s="124" t="s">
        <v>629</v>
      </c>
      <c r="L23" s="1094"/>
      <c r="M23" s="1127">
        <v>15.521436</v>
      </c>
      <c r="R23" s="112"/>
    </row>
    <row r="24" spans="2:18" x14ac:dyDescent="0.2">
      <c r="B24" s="978"/>
      <c r="C24" s="655"/>
      <c r="D24" s="124" t="s">
        <v>630</v>
      </c>
      <c r="E24" s="699" cm="1">
        <f t="array" ref="E24">_xlfn.SWITCH($C$15,$U$9,'Summary Ref Tables'!G60,$V$9,L24,$W$9,'Summary Ref Tables'!G80,$X$9,'Summary Ref Tables'!G100)</f>
        <v>9.0460882885519782E-3</v>
      </c>
      <c r="F24" s="1035">
        <f t="shared" si="0"/>
        <v>148.747095</v>
      </c>
      <c r="G24" s="1036">
        <v>148.747095</v>
      </c>
      <c r="I24" s="978"/>
      <c r="J24" s="655"/>
      <c r="K24" s="124" t="s">
        <v>630</v>
      </c>
      <c r="L24" s="1094"/>
      <c r="M24" s="1127">
        <v>148.747095</v>
      </c>
      <c r="R24" s="112"/>
    </row>
    <row r="25" spans="2:18" x14ac:dyDescent="0.2">
      <c r="B25" s="978"/>
      <c r="C25" s="655"/>
      <c r="D25" s="124" t="s">
        <v>631</v>
      </c>
      <c r="E25" s="699" cm="1">
        <f t="array" ref="E25">_xlfn.SWITCH($C$15,$U$9,'Summary Ref Tables'!G61,$V$9,L25,$W$9,'Summary Ref Tables'!G81,$X$9,'Summary Ref Tables'!G101)</f>
        <v>4.5765299192404227E-3</v>
      </c>
      <c r="F25" s="1035">
        <f t="shared" si="0"/>
        <v>148.747095</v>
      </c>
      <c r="G25" s="1036">
        <v>148.747095</v>
      </c>
      <c r="I25" s="978"/>
      <c r="J25" s="655"/>
      <c r="K25" s="124" t="s">
        <v>631</v>
      </c>
      <c r="L25" s="1094"/>
      <c r="M25" s="1127">
        <v>148.747095</v>
      </c>
      <c r="R25" s="112"/>
    </row>
    <row r="26" spans="2:18" x14ac:dyDescent="0.2">
      <c r="B26" s="978"/>
      <c r="C26" s="655"/>
      <c r="D26" s="124" t="s">
        <v>632</v>
      </c>
      <c r="E26" s="699" cm="1">
        <f t="array" ref="E26">_xlfn.SWITCH($C$15,$U$9,'Summary Ref Tables'!G62,$V$9,L26,$W$9,'Summary Ref Tables'!G82,$X$9,'Summary Ref Tables'!G102)</f>
        <v>3.9517767589021726E-3</v>
      </c>
      <c r="F26" s="1035">
        <f t="shared" si="0"/>
        <v>24.575607000000002</v>
      </c>
      <c r="G26" s="1036">
        <v>24.575607000000002</v>
      </c>
      <c r="I26" s="978"/>
      <c r="J26" s="655"/>
      <c r="K26" s="124" t="s">
        <v>632</v>
      </c>
      <c r="L26" s="1094"/>
      <c r="M26" s="1127">
        <v>24.575607000000002</v>
      </c>
      <c r="R26" s="112"/>
    </row>
    <row r="27" spans="2:18" x14ac:dyDescent="0.2">
      <c r="B27" s="978"/>
      <c r="C27" s="655"/>
      <c r="D27" s="124" t="s">
        <v>417</v>
      </c>
      <c r="E27" s="699" cm="1">
        <f t="array" ref="E27">_xlfn.SWITCH($C$15,$U$9,'Summary Ref Tables'!G63,$V$9,L27,$W$9,'Summary Ref Tables'!G83,$X$9,'Summary Ref Tables'!G103)</f>
        <v>2.7908981221446635E-2</v>
      </c>
      <c r="F27" s="1035">
        <f t="shared" si="0"/>
        <v>31.042871999999999</v>
      </c>
      <c r="G27" s="1036">
        <v>31.042871999999999</v>
      </c>
      <c r="I27" s="978"/>
      <c r="J27" s="655"/>
      <c r="K27" s="124" t="s">
        <v>417</v>
      </c>
      <c r="L27" s="1094"/>
      <c r="M27" s="1127">
        <v>31.042871999999999</v>
      </c>
      <c r="R27" s="112"/>
    </row>
    <row r="28" spans="2:18" x14ac:dyDescent="0.2">
      <c r="B28" s="979"/>
      <c r="C28" s="656"/>
      <c r="D28" s="124" t="s">
        <v>633</v>
      </c>
      <c r="E28" s="699" cm="1">
        <f t="array" ref="E28">_xlfn.SWITCH($C$15,$U$9,'Summary Ref Tables'!G64,$V$9,L28,$W$9,'Summary Ref Tables'!G84,$X$9,'Summary Ref Tables'!G104)</f>
        <v>9.2423087915079374E-2</v>
      </c>
      <c r="F28" s="1035">
        <f t="shared" si="0"/>
        <v>7.1139915</v>
      </c>
      <c r="G28" s="1036">
        <v>7.1139915</v>
      </c>
      <c r="I28" s="979"/>
      <c r="J28" s="656"/>
      <c r="K28" s="124" t="s">
        <v>633</v>
      </c>
      <c r="L28" s="1094"/>
      <c r="M28" s="1127">
        <v>7.1139915</v>
      </c>
      <c r="R28" s="112"/>
    </row>
    <row r="29" spans="2:18" x14ac:dyDescent="0.2">
      <c r="B29" s="333"/>
      <c r="C29" s="975"/>
      <c r="D29" s="975"/>
      <c r="E29" s="423">
        <f>SUM(E18:E28)</f>
        <v>0.99999999999999989</v>
      </c>
      <c r="G29" s="112"/>
      <c r="I29" s="333"/>
      <c r="J29" s="975"/>
      <c r="K29" s="975"/>
      <c r="L29" s="1125">
        <f>SUM(L18:L28)</f>
        <v>0</v>
      </c>
      <c r="M29" s="1030"/>
      <c r="R29" s="112"/>
    </row>
    <row r="30" spans="2:18" x14ac:dyDescent="0.2">
      <c r="B30" s="84"/>
      <c r="C30" s="45"/>
      <c r="D30" s="45"/>
      <c r="E30" s="21"/>
      <c r="F30" s="45"/>
      <c r="G30" s="112"/>
      <c r="I30" s="84"/>
      <c r="J30" s="45"/>
      <c r="K30" s="45"/>
      <c r="L30" s="21"/>
      <c r="M30" s="12"/>
      <c r="R30" s="112"/>
    </row>
    <row r="31" spans="2:18" x14ac:dyDescent="0.2">
      <c r="B31" s="1028"/>
      <c r="C31" s="89"/>
      <c r="D31" s="89"/>
      <c r="E31" s="1032" t="s">
        <v>634</v>
      </c>
      <c r="F31" s="1033">
        <f>SUMPRODUCT(E18:E28,F18:F28)</f>
        <v>108.5873463079036</v>
      </c>
      <c r="G31" s="90"/>
      <c r="H31" s="443"/>
      <c r="I31" s="1028"/>
      <c r="J31" s="89"/>
      <c r="K31" s="89"/>
      <c r="L31" s="1032" t="s">
        <v>634</v>
      </c>
      <c r="M31" s="1126">
        <f>SUMPRODUCT(L18:L28,M18:M28)</f>
        <v>0</v>
      </c>
      <c r="R31" s="112"/>
    </row>
    <row r="32" spans="2:18" x14ac:dyDescent="0.2">
      <c r="B32" s="1028"/>
      <c r="C32" s="305"/>
      <c r="D32" s="305"/>
      <c r="E32" s="305"/>
      <c r="F32" s="305"/>
      <c r="G32" s="305"/>
      <c r="H32" s="305"/>
      <c r="I32" s="305"/>
      <c r="J32" s="305"/>
      <c r="K32" s="305"/>
      <c r="L32" s="305"/>
      <c r="M32" s="305"/>
      <c r="N32" s="305"/>
      <c r="O32" s="305"/>
      <c r="P32" s="305"/>
      <c r="Q32" s="305"/>
      <c r="R32" s="1029"/>
    </row>
    <row r="33" spans="2:5" x14ac:dyDescent="0.2">
      <c r="B33" s="1259" t="s">
        <v>124</v>
      </c>
      <c r="C33" s="1260"/>
      <c r="D33" s="1260"/>
      <c r="E33" s="1261"/>
    </row>
    <row r="78" ht="14.75" customHeight="1" x14ac:dyDescent="0.2"/>
  </sheetData>
  <mergeCells count="10">
    <mergeCell ref="D3:G3"/>
    <mergeCell ref="B1:Q1"/>
    <mergeCell ref="B2:Q2"/>
    <mergeCell ref="B33:E33"/>
    <mergeCell ref="B4:Q4"/>
    <mergeCell ref="B5:H11"/>
    <mergeCell ref="B17:D17"/>
    <mergeCell ref="I17:K17"/>
    <mergeCell ref="I15:M16"/>
    <mergeCell ref="D15:E15"/>
  </mergeCells>
  <phoneticPr fontId="74" type="noConversion"/>
  <conditionalFormatting sqref="L18:L28">
    <cfRule type="expression" dxfId="1" priority="1">
      <formula>$C$15="Custom"</formula>
    </cfRule>
  </conditionalFormatting>
  <conditionalFormatting sqref="L19:L28">
    <cfRule type="containsText" dxfId="0" priority="2" operator="containsText" text="Custom">
      <formula>NOT(ISERROR(SEARCH("Custom",L19)))</formula>
    </cfRule>
  </conditionalFormatting>
  <dataValidations count="1">
    <dataValidation type="list" allowBlank="1" showInputMessage="1" showErrorMessage="1" sqref="C15" xr:uid="{2B08A949-0A19-4A68-AB95-7EB259DC4949}">
      <formula1>$U$9:$X$9</formula1>
    </dataValidation>
  </dataValidations>
  <hyperlinks>
    <hyperlink ref="B33:D33" location="FullDataLanding" display="Return to Planning Page" xr:uid="{FFE2FC8F-1FCF-44E4-9AED-120E86263493}"/>
    <hyperlink ref="D3:F3" location="FullDataLanding" display="Return to Planning Page" xr:uid="{C30FF170-2DAF-4C16-BCE3-FA7E8E16C0FA}"/>
    <hyperlink ref="B33:E33" location="FullDataLanding" display="Return to Home Page" xr:uid="{E24AB12F-14D0-4F56-8821-559A25D99D04}"/>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1E8B1-B45F-48B8-9EE4-1185B9FDF019}">
  <sheetPr>
    <tabColor rgb="FF002060"/>
    <pageSetUpPr fitToPage="1"/>
  </sheetPr>
  <dimension ref="A1:Q74"/>
  <sheetViews>
    <sheetView showGridLines="0" topLeftCell="A4" workbookViewId="0"/>
  </sheetViews>
  <sheetFormatPr baseColWidth="10" defaultColWidth="8.83203125" defaultRowHeight="15" x14ac:dyDescent="0.2"/>
  <cols>
    <col min="1" max="1" width="2.6640625" customWidth="1"/>
    <col min="2" max="2" width="15.33203125" customWidth="1"/>
    <col min="3" max="3" width="39.5" customWidth="1"/>
    <col min="4" max="7" width="22.6640625" customWidth="1"/>
    <col min="8" max="8" width="27.6640625" customWidth="1"/>
    <col min="9" max="10" width="22.6640625" customWidth="1"/>
    <col min="11" max="11" width="23.5" customWidth="1"/>
    <col min="12" max="12" width="26.6640625" bestFit="1" customWidth="1"/>
    <col min="13" max="13" width="22.6640625" customWidth="1"/>
    <col min="14" max="14" width="25.6640625" customWidth="1"/>
    <col min="15" max="16" width="22.6640625" customWidth="1"/>
    <col min="17" max="17" width="2.6640625" customWidth="1"/>
  </cols>
  <sheetData>
    <row r="1" spans="1:17" ht="15.75" customHeight="1" x14ac:dyDescent="0.2">
      <c r="A1" s="5"/>
      <c r="B1" s="1159" t="s">
        <v>0</v>
      </c>
      <c r="C1" s="1159"/>
      <c r="D1" s="1159"/>
      <c r="E1" s="1159"/>
      <c r="F1" s="1159"/>
      <c r="G1" s="1159"/>
      <c r="H1" s="1159"/>
      <c r="I1" s="1159"/>
      <c r="J1" s="1159"/>
      <c r="K1" s="1159"/>
      <c r="L1" s="1159"/>
      <c r="M1" s="1159"/>
      <c r="N1" s="645"/>
      <c r="O1" s="645"/>
      <c r="P1" s="645"/>
      <c r="Q1" s="665"/>
    </row>
    <row r="2" spans="1:17" ht="21" customHeight="1" x14ac:dyDescent="0.2">
      <c r="A2" s="5"/>
      <c r="B2" s="1161" t="s">
        <v>1</v>
      </c>
      <c r="C2" s="1161"/>
      <c r="D2" s="1161"/>
      <c r="E2" s="1161"/>
      <c r="F2" s="1161"/>
      <c r="G2" s="1161"/>
      <c r="H2" s="1161"/>
      <c r="I2" s="1161"/>
      <c r="J2" s="1161"/>
      <c r="K2" s="1161"/>
      <c r="L2" s="1161"/>
      <c r="M2" s="1161"/>
      <c r="N2" s="440"/>
      <c r="O2" s="440"/>
      <c r="P2" s="440"/>
      <c r="Q2" s="32"/>
    </row>
    <row r="3" spans="1:17" ht="18" x14ac:dyDescent="0.2">
      <c r="A3" s="5"/>
      <c r="B3" s="1163" t="s">
        <v>36</v>
      </c>
      <c r="C3" s="1163"/>
      <c r="D3" s="1163"/>
      <c r="E3" s="1163"/>
      <c r="F3" s="1163"/>
      <c r="G3" s="1163"/>
      <c r="H3" s="1163"/>
      <c r="I3" s="1163"/>
      <c r="J3" s="1163"/>
      <c r="K3" s="1163"/>
      <c r="L3" s="1163"/>
      <c r="M3" s="1163"/>
      <c r="N3" s="644"/>
      <c r="O3" s="644"/>
      <c r="P3" s="644"/>
      <c r="Q3" s="648"/>
    </row>
    <row r="4" spans="1:17" ht="18" x14ac:dyDescent="0.2">
      <c r="A4" s="5"/>
      <c r="B4" s="603"/>
      <c r="C4" s="597"/>
      <c r="D4" s="597"/>
      <c r="E4" s="597"/>
      <c r="F4" s="597"/>
      <c r="G4" s="597"/>
      <c r="H4" s="597"/>
      <c r="I4" s="597"/>
      <c r="J4" s="597"/>
      <c r="K4" s="597"/>
      <c r="L4" s="597"/>
      <c r="M4" s="597"/>
      <c r="N4" s="597"/>
      <c r="O4" s="597"/>
      <c r="P4" s="597"/>
      <c r="Q4" s="6"/>
    </row>
    <row r="5" spans="1:17" ht="32.25" customHeight="1" x14ac:dyDescent="0.2">
      <c r="A5" s="5"/>
      <c r="B5" s="1188" t="s">
        <v>635</v>
      </c>
      <c r="C5" s="1188"/>
      <c r="D5" s="1188"/>
      <c r="E5" s="1188"/>
      <c r="F5" s="1188"/>
      <c r="G5" s="1188"/>
      <c r="H5" s="1188"/>
      <c r="I5" s="1188"/>
      <c r="J5" s="1188"/>
      <c r="K5" s="1188"/>
      <c r="L5" s="1188"/>
      <c r="M5" s="1188"/>
      <c r="N5" s="647"/>
      <c r="O5" s="647"/>
      <c r="P5" s="647"/>
      <c r="Q5" s="6"/>
    </row>
    <row r="6" spans="1:17" x14ac:dyDescent="0.2">
      <c r="B6" s="100" t="s">
        <v>636</v>
      </c>
      <c r="C6" s="650" t="s">
        <v>52</v>
      </c>
      <c r="D6" s="184" t="str">
        <f>IF(Project_Title="","",Project_Title)</f>
        <v>Waste Heat Recovery Cooling in Beverage Manufacturing</v>
      </c>
      <c r="E6" s="185"/>
      <c r="F6" s="185"/>
      <c r="G6" s="185"/>
      <c r="H6" s="186"/>
      <c r="I6" s="21"/>
      <c r="J6" s="21"/>
      <c r="K6" s="21"/>
      <c r="L6" s="21"/>
      <c r="M6" s="21"/>
      <c r="N6" s="21"/>
      <c r="O6" s="21"/>
      <c r="P6" s="21"/>
      <c r="Q6" s="26"/>
    </row>
    <row r="7" spans="1:17" x14ac:dyDescent="0.2">
      <c r="B7" s="100"/>
      <c r="C7" s="650" t="s">
        <v>54</v>
      </c>
      <c r="D7" s="194" t="str">
        <f>IF(Project_Lead="","",Project_Lead)</f>
        <v>Hypothetical Organization</v>
      </c>
      <c r="E7" s="195"/>
      <c r="F7" s="195"/>
      <c r="G7" s="195"/>
      <c r="H7" s="196"/>
      <c r="I7" s="21"/>
      <c r="J7" s="21"/>
      <c r="K7" s="21"/>
      <c r="L7" s="21"/>
      <c r="M7" s="21"/>
      <c r="N7" s="21"/>
      <c r="O7" s="21"/>
      <c r="P7" s="21"/>
      <c r="Q7" s="26"/>
    </row>
    <row r="8" spans="1:17" x14ac:dyDescent="0.2">
      <c r="B8" s="38"/>
      <c r="C8" s="650" t="s">
        <v>56</v>
      </c>
      <c r="D8" s="194" t="str">
        <f>IF(Project_Collaborators="","",Project_Collaborators)</f>
        <v>Staff</v>
      </c>
      <c r="E8" s="195"/>
      <c r="F8" s="195"/>
      <c r="G8" s="195"/>
      <c r="H8" s="196"/>
      <c r="I8" s="21"/>
      <c r="J8" s="21"/>
      <c r="K8" s="21"/>
      <c r="L8" s="21"/>
      <c r="M8" s="21"/>
      <c r="N8" s="21"/>
      <c r="O8" s="21"/>
      <c r="P8" s="21"/>
      <c r="Q8" s="26"/>
    </row>
    <row r="9" spans="1:17" x14ac:dyDescent="0.2">
      <c r="B9" s="38"/>
      <c r="C9" s="650" t="s">
        <v>637</v>
      </c>
      <c r="D9" s="194" t="str">
        <f>IF(Project_PI&amp;Project_PI_Org="","",Project_PI&amp;", "&amp;Project_PI_Org)</f>
        <v>John Doe, Hypotentical National Laboratory</v>
      </c>
      <c r="E9" s="195"/>
      <c r="F9" s="195"/>
      <c r="G9" s="195"/>
      <c r="H9" s="196"/>
      <c r="I9" s="21"/>
      <c r="J9" s="21"/>
      <c r="K9" s="21"/>
      <c r="L9" s="21"/>
      <c r="M9" s="21"/>
      <c r="N9" s="21"/>
      <c r="O9" s="21"/>
      <c r="P9" s="21"/>
      <c r="Q9" s="26"/>
    </row>
    <row r="10" spans="1:17" x14ac:dyDescent="0.2">
      <c r="B10" s="38"/>
      <c r="C10" s="650" t="s">
        <v>62</v>
      </c>
      <c r="D10" s="187" t="str">
        <f>IF(AMO_TM="","",AMO_TM)</f>
        <v>Jane Doe</v>
      </c>
      <c r="E10" s="188"/>
      <c r="F10" s="188"/>
      <c r="G10" s="188"/>
      <c r="H10" s="189"/>
      <c r="I10" s="21"/>
      <c r="J10" s="21"/>
      <c r="K10" s="21"/>
      <c r="L10" s="21"/>
      <c r="M10" s="21"/>
      <c r="N10" s="21"/>
      <c r="O10" s="21"/>
      <c r="P10" s="21"/>
      <c r="Q10" s="26"/>
    </row>
    <row r="11" spans="1:17" x14ac:dyDescent="0.2">
      <c r="B11" s="180"/>
      <c r="C11" s="650" t="s">
        <v>638</v>
      </c>
      <c r="D11" s="200" t="str">
        <f>IF(Project_Start="","",TEXT(Project_Start,"[$-en-US]mmmm yyyy;@")&amp;" to "&amp;TEXT(Project_End,"[$-en-US]mmmm yyyy;@"))</f>
        <v>January 2023 to January 2025</v>
      </c>
      <c r="E11" s="197"/>
      <c r="F11" s="197"/>
      <c r="G11" s="188"/>
      <c r="H11" s="189"/>
      <c r="I11" s="21"/>
      <c r="J11" s="21"/>
      <c r="K11" s="21"/>
      <c r="L11" s="21"/>
      <c r="M11" s="21"/>
      <c r="N11" s="21"/>
      <c r="O11" s="21"/>
      <c r="P11" s="21"/>
      <c r="Q11" s="26"/>
    </row>
    <row r="12" spans="1:17" x14ac:dyDescent="0.2">
      <c r="B12" s="180"/>
      <c r="C12" s="650" t="s">
        <v>66</v>
      </c>
      <c r="D12" s="187" t="str">
        <f>IF(Funding_Mech="","",Funding_Mech)</f>
        <v>R&amp;D Project</v>
      </c>
      <c r="E12" s="188"/>
      <c r="F12" s="188"/>
      <c r="G12" s="188"/>
      <c r="H12" s="189"/>
      <c r="I12" s="21"/>
      <c r="J12" s="21"/>
      <c r="K12" s="21"/>
      <c r="L12" s="21"/>
      <c r="M12" s="21"/>
      <c r="N12" s="21"/>
      <c r="O12" s="21"/>
      <c r="P12" s="21"/>
      <c r="Q12" s="26"/>
    </row>
    <row r="13" spans="1:17" x14ac:dyDescent="0.2">
      <c r="B13" s="180"/>
      <c r="C13" s="150"/>
      <c r="D13" s="21"/>
      <c r="E13" s="21"/>
      <c r="G13" s="21"/>
      <c r="H13" s="182" t="str">
        <f ca="1">IF(Project_Start&lt;&gt;"",IF(Project_Start&lt;TODAY(),IF(Project_End+30&gt;TODAY(),"Status: Project Underway","Status: Project Complete"),"Status: Future Project"),"")</f>
        <v>Status: Project Complete</v>
      </c>
      <c r="I13" s="21"/>
      <c r="K13" s="21"/>
      <c r="L13" s="21"/>
      <c r="M13" s="21"/>
      <c r="N13" s="21"/>
      <c r="O13" s="21"/>
      <c r="P13" s="21"/>
      <c r="Q13" s="26"/>
    </row>
    <row r="14" spans="1:17" x14ac:dyDescent="0.2">
      <c r="B14" s="100" t="s">
        <v>639</v>
      </c>
      <c r="C14" s="650" t="s">
        <v>640</v>
      </c>
      <c r="D14" s="184" t="str">
        <f>EndUse_Product</f>
        <v>Cooled Waste Water</v>
      </c>
      <c r="E14" s="185"/>
      <c r="F14" s="185"/>
      <c r="G14" s="185"/>
      <c r="H14" s="186"/>
      <c r="I14" s="21"/>
      <c r="J14" s="21"/>
      <c r="K14" s="21"/>
      <c r="L14" s="21"/>
      <c r="M14" s="21"/>
      <c r="N14" s="21"/>
      <c r="O14" s="21"/>
      <c r="P14" s="21"/>
      <c r="Q14" s="26"/>
    </row>
    <row r="15" spans="1:17" x14ac:dyDescent="0.2">
      <c r="B15" s="100"/>
      <c r="C15" s="650" t="s">
        <v>641</v>
      </c>
      <c r="D15" s="287">
        <f>US_Annual_Production</f>
        <v>7300000</v>
      </c>
      <c r="E15" s="289" t="str">
        <f>US_Annual_Production_Unit</f>
        <v xml:space="preserve">Million Gallons </v>
      </c>
      <c r="F15" s="188"/>
      <c r="G15" s="188"/>
      <c r="H15" s="189"/>
      <c r="I15" s="21"/>
      <c r="J15" s="21"/>
      <c r="K15" s="21"/>
      <c r="L15" s="21"/>
      <c r="M15" s="21"/>
      <c r="N15" s="21"/>
      <c r="O15" s="21"/>
      <c r="P15" s="21"/>
      <c r="Q15" s="26"/>
    </row>
    <row r="16" spans="1:17" ht="28" x14ac:dyDescent="0.2">
      <c r="B16" s="100"/>
      <c r="C16" s="650" t="s">
        <v>642</v>
      </c>
      <c r="D16" s="288">
        <f>US_Annual_Production*H20</f>
        <v>7300000</v>
      </c>
      <c r="E16" s="289" t="str">
        <f>US_Annual_Production_Unit</f>
        <v xml:space="preserve">Million Gallons </v>
      </c>
      <c r="F16" s="289" t="str">
        <f>"(assuming replacement of "&amp;TEXT(H20,"0%")&amp;" of the end-use market)"</f>
        <v>(assuming replacement of 100% of the end-use market)</v>
      </c>
      <c r="G16" s="188"/>
      <c r="H16" s="189"/>
      <c r="I16" s="21"/>
      <c r="J16" s="21"/>
      <c r="K16" s="21"/>
      <c r="L16" s="21"/>
      <c r="M16" s="21"/>
      <c r="N16" s="21"/>
      <c r="O16" s="21"/>
      <c r="P16" s="21"/>
      <c r="Q16" s="26"/>
    </row>
    <row r="17" spans="2:17" x14ac:dyDescent="0.2">
      <c r="B17" s="100"/>
      <c r="C17" s="650" t="s">
        <v>643</v>
      </c>
      <c r="D17" s="288">
        <f>IF(Ref_Volume_Benchmark&gt;0,ReplaceableProduction*Ref_Volume/Ref_Volume_Benchmark,"")</f>
        <v>7300000</v>
      </c>
      <c r="E17" s="289" t="str">
        <f>US_Annual_Production_Unit</f>
        <v xml:space="preserve">Million Gallons </v>
      </c>
      <c r="F17" s="289" t="s">
        <v>644</v>
      </c>
      <c r="G17" s="188"/>
      <c r="H17" s="189"/>
      <c r="I17" s="21"/>
      <c r="J17" s="21"/>
      <c r="K17" s="21"/>
      <c r="L17" s="21"/>
      <c r="M17" s="21"/>
      <c r="N17" s="21"/>
      <c r="O17" s="21"/>
      <c r="P17" s="21"/>
      <c r="Q17" s="26"/>
    </row>
    <row r="18" spans="2:17" x14ac:dyDescent="0.2">
      <c r="B18" s="38"/>
      <c r="C18" s="21"/>
      <c r="D18" s="21"/>
      <c r="E18" s="21"/>
      <c r="F18" s="21"/>
      <c r="G18" s="21"/>
      <c r="H18" s="21"/>
      <c r="I18" s="21"/>
      <c r="J18" s="21"/>
      <c r="K18" s="21"/>
      <c r="L18" s="21"/>
      <c r="M18" s="21"/>
      <c r="N18" s="21"/>
      <c r="O18" s="21"/>
      <c r="P18" s="21"/>
      <c r="Q18" s="26"/>
    </row>
    <row r="19" spans="2:17" ht="29" x14ac:dyDescent="0.2">
      <c r="B19" s="100" t="s">
        <v>645</v>
      </c>
      <c r="C19" s="181"/>
      <c r="D19" s="596" t="s">
        <v>646</v>
      </c>
      <c r="E19" s="596" t="s">
        <v>647</v>
      </c>
      <c r="F19" s="596" t="s">
        <v>648</v>
      </c>
      <c r="G19" s="596" t="s">
        <v>649</v>
      </c>
      <c r="H19" s="596" t="s">
        <v>650</v>
      </c>
      <c r="I19" s="673"/>
      <c r="J19" s="45"/>
      <c r="K19" s="21"/>
      <c r="L19" s="21"/>
      <c r="M19" s="21"/>
      <c r="N19" s="21"/>
      <c r="O19" s="21"/>
      <c r="P19" s="21"/>
      <c r="Q19" s="26"/>
    </row>
    <row r="20" spans="2:17" ht="28" x14ac:dyDescent="0.2">
      <c r="B20" s="38"/>
      <c r="C20" s="183" t="s">
        <v>651</v>
      </c>
      <c r="D20" s="190" t="str">
        <f>IF(New_Technology="","",New_Technology)</f>
        <v>Waste Heat Recovery (Heat Pump)</v>
      </c>
      <c r="E20" s="190" t="str">
        <f>IF(New_Technology_Apps="","",New_Technology_Apps)</f>
        <v>Cooled Waste Water</v>
      </c>
      <c r="F20" s="190" t="str">
        <f>IF(NewTech_Status="","",NewTech_Status)</f>
        <v>Typical Technology</v>
      </c>
      <c r="G20" s="191">
        <f>IF(CurrentMarketShare_NewTech="","",CurrentMarketShare_NewTech)</f>
        <v>0</v>
      </c>
      <c r="H20" s="191">
        <f>IF(PotentialMarketShare_NewTech="","",PotentialMarketShare_NewTech)</f>
        <v>1</v>
      </c>
      <c r="I20" s="199"/>
      <c r="J20" s="45"/>
      <c r="K20" s="21"/>
      <c r="L20" s="21"/>
      <c r="M20" s="21"/>
      <c r="N20" s="21"/>
      <c r="O20" s="21"/>
      <c r="P20" s="21"/>
      <c r="Q20" s="26"/>
    </row>
    <row r="21" spans="2:17" ht="28" x14ac:dyDescent="0.2">
      <c r="B21" s="38"/>
      <c r="C21" s="183" t="s">
        <v>652</v>
      </c>
      <c r="D21" s="190" t="str">
        <f>IF(Commercial_Benchmark="","",Commercial_Benchmark)</f>
        <v>Evaporative Condenser</v>
      </c>
      <c r="E21" s="190" t="str">
        <f>IF(Benchmark_Apps="","",Benchmark_Apps)</f>
        <v>Cooled Waste Water</v>
      </c>
      <c r="F21" s="190" t="str">
        <f>IF(Benchmark_Status="","",Benchmark_Status)</f>
        <v>Typical Technology</v>
      </c>
      <c r="G21" s="191">
        <f>CurrentMarketShare_Benchmark</f>
        <v>1</v>
      </c>
      <c r="H21" s="191">
        <f>IF(PotentialMarketShare_Benchmark="","",PotentialMarketShare_Benchmark)</f>
        <v>0</v>
      </c>
      <c r="I21" s="199"/>
      <c r="J21" s="45"/>
      <c r="K21" s="21"/>
      <c r="L21" s="21"/>
      <c r="M21" s="21"/>
      <c r="N21" s="21"/>
      <c r="O21" s="21"/>
      <c r="P21" s="21"/>
      <c r="Q21" s="26"/>
    </row>
    <row r="22" spans="2:17" ht="28" x14ac:dyDescent="0.2">
      <c r="B22" s="38"/>
      <c r="C22" s="183" t="s">
        <v>653</v>
      </c>
      <c r="D22" s="190" t="str">
        <f>IF(Other_Competing="","",Other_Competing)</f>
        <v/>
      </c>
      <c r="E22" s="190" t="str">
        <f>IF(Other_Competing_Apps="","",Other_Competing_Apps)</f>
        <v/>
      </c>
      <c r="F22" s="190" t="str">
        <f>IF(OtherTech_Status="","",OtherTech_Status)</f>
        <v/>
      </c>
      <c r="G22" s="191" t="str">
        <f>IF(CurrentMarketShare_OtherTech="","",CurrentMarketShare_OtherTech)</f>
        <v/>
      </c>
      <c r="H22" s="191" t="str">
        <f>IF(PotentialMarketShare_OtherTech="","",PotentialMarketShare_OtherTech)</f>
        <v/>
      </c>
      <c r="I22" s="199"/>
      <c r="J22" s="45"/>
      <c r="K22" s="21"/>
      <c r="L22" s="21"/>
      <c r="M22" s="21"/>
      <c r="N22" s="21"/>
      <c r="O22" s="21"/>
      <c r="P22" s="21"/>
      <c r="Q22" s="26"/>
    </row>
    <row r="23" spans="2:17" x14ac:dyDescent="0.2">
      <c r="B23" s="38"/>
      <c r="C23" s="21"/>
      <c r="D23" s="21"/>
      <c r="E23" s="21"/>
      <c r="F23" s="21"/>
      <c r="G23" s="21"/>
      <c r="H23" s="21"/>
      <c r="I23" s="21"/>
      <c r="J23" s="21"/>
      <c r="K23" s="21"/>
      <c r="L23" s="21"/>
      <c r="M23" s="21"/>
      <c r="N23" s="21"/>
      <c r="O23" s="21"/>
      <c r="P23" s="21"/>
      <c r="Q23" s="26"/>
    </row>
    <row r="24" spans="2:17" ht="18" x14ac:dyDescent="0.2">
      <c r="B24" s="144" t="s">
        <v>654</v>
      </c>
      <c r="C24" s="145"/>
      <c r="D24" s="145"/>
      <c r="E24" s="145"/>
      <c r="F24" s="145"/>
      <c r="G24" s="145"/>
      <c r="H24" s="145"/>
      <c r="I24" s="145"/>
      <c r="J24" s="145"/>
      <c r="K24" s="145"/>
      <c r="L24" s="145"/>
      <c r="M24" s="145"/>
      <c r="N24" s="64"/>
      <c r="O24" s="64"/>
      <c r="P24" s="64"/>
      <c r="Q24" s="306"/>
    </row>
    <row r="25" spans="2:17" s="50" customFormat="1" ht="14" x14ac:dyDescent="0.2">
      <c r="B25" s="147"/>
      <c r="C25" s="148"/>
      <c r="D25" s="148"/>
      <c r="E25" s="148"/>
      <c r="F25" s="148"/>
      <c r="G25" s="148"/>
      <c r="H25" s="148"/>
      <c r="I25" s="148"/>
      <c r="J25" s="148"/>
      <c r="K25" s="148"/>
      <c r="L25" s="148"/>
      <c r="M25" s="148"/>
      <c r="N25" s="21"/>
      <c r="O25" s="21"/>
      <c r="P25" s="21"/>
      <c r="Q25" s="26"/>
    </row>
    <row r="26" spans="2:17" x14ac:dyDescent="0.2">
      <c r="B26" s="301" t="s">
        <v>655</v>
      </c>
      <c r="C26" s="149"/>
      <c r="D26" s="149"/>
      <c r="E26" s="647"/>
      <c r="F26" s="647"/>
      <c r="G26" s="149" t="s">
        <v>655</v>
      </c>
      <c r="H26" s="149"/>
      <c r="I26" s="149"/>
      <c r="J26" s="647"/>
      <c r="K26" s="149"/>
      <c r="L26" s="45"/>
      <c r="M26" s="149" t="s">
        <v>655</v>
      </c>
      <c r="N26" s="149"/>
      <c r="O26" s="149"/>
      <c r="P26" s="149"/>
      <c r="Q26" s="26"/>
    </row>
    <row r="27" spans="2:17" ht="43" x14ac:dyDescent="0.2">
      <c r="B27" s="138" t="s">
        <v>656</v>
      </c>
      <c r="C27" s="45"/>
      <c r="D27" s="201" t="s">
        <v>657</v>
      </c>
      <c r="E27" s="272" t="s">
        <v>162</v>
      </c>
      <c r="F27" s="647"/>
      <c r="G27" s="284" t="s">
        <v>658</v>
      </c>
      <c r="H27" s="45"/>
      <c r="I27" s="201" t="s">
        <v>657</v>
      </c>
      <c r="J27" s="272" t="s">
        <v>162</v>
      </c>
      <c r="K27" s="272" t="s">
        <v>659</v>
      </c>
      <c r="L27" s="45"/>
      <c r="M27" s="284" t="s">
        <v>660</v>
      </c>
      <c r="N27" s="45"/>
      <c r="O27" s="201" t="s">
        <v>657</v>
      </c>
      <c r="P27" s="272" t="s">
        <v>162</v>
      </c>
      <c r="Q27" s="26"/>
    </row>
    <row r="28" spans="2:17" ht="29" x14ac:dyDescent="0.2">
      <c r="B28" s="84"/>
      <c r="C28" s="443" t="s">
        <v>163</v>
      </c>
      <c r="D28" s="271" t="str">
        <f>New_Technology</f>
        <v>Waste Heat Recovery (Heat Pump)</v>
      </c>
      <c r="E28" s="273" t="str">
        <f>Commercial_Benchmark</f>
        <v>Evaporative Condenser</v>
      </c>
      <c r="F28" s="647"/>
      <c r="G28" s="45"/>
      <c r="H28" s="443" t="s">
        <v>163</v>
      </c>
      <c r="I28" s="271" t="str">
        <f>New_Technology</f>
        <v>Waste Heat Recovery (Heat Pump)</v>
      </c>
      <c r="J28" s="273" t="str">
        <f>Commercial_Benchmark</f>
        <v>Evaporative Condenser</v>
      </c>
      <c r="K28" s="273" t="str">
        <f>Commercial_Benchmark</f>
        <v>Evaporative Condenser</v>
      </c>
      <c r="L28" s="45"/>
      <c r="M28" s="45"/>
      <c r="N28" s="443" t="s">
        <v>163</v>
      </c>
      <c r="O28" s="271" t="str">
        <f>New_Technology</f>
        <v>Waste Heat Recovery (Heat Pump)</v>
      </c>
      <c r="P28" s="273" t="str">
        <f>Commercial_Benchmark</f>
        <v>Evaporative Condenser</v>
      </c>
      <c r="Q28" s="26"/>
    </row>
    <row r="29" spans="2:17" x14ac:dyDescent="0.2">
      <c r="B29" s="84"/>
      <c r="C29" s="443" t="s">
        <v>175</v>
      </c>
      <c r="D29" s="280" t="str">
        <f>TEXT(Ref_Volume,"#,##0")&amp;" "&amp;Ref_Volume_Unit</f>
        <v>2 Million Gallons</v>
      </c>
      <c r="E29" s="274" t="str">
        <f>TEXT(Ref_Volume_Benchmark,"#,##0")&amp;" "&amp;Ref_Volume_Unit</f>
        <v>2 Million Gallons</v>
      </c>
      <c r="F29" s="647"/>
      <c r="G29" s="45"/>
      <c r="H29" s="443" t="s">
        <v>661</v>
      </c>
      <c r="I29" s="280" t="str">
        <f>TEXT(Facility_Production_NewTech,"#,##0")&amp;" "&amp;Ref_Volume_Unit</f>
        <v>730 Million Gallons</v>
      </c>
      <c r="J29" s="274" t="str">
        <f>TEXT(Facility_Production_Benchmark,"#,##0")&amp;" "&amp;Ref_Volume_Unit</f>
        <v>730 Million Gallons</v>
      </c>
      <c r="K29" s="274" t="str">
        <f>IF(Ref_Volume&gt;0,TEXT(Facility_Production_NewTech*Ref_Volume_Benchmark/Ref_Volume,"#,##0")&amp;" "&amp;Ref_Volume_Unit,"")</f>
        <v>730 Million Gallons</v>
      </c>
      <c r="L29" s="45"/>
      <c r="M29" s="45"/>
      <c r="N29" s="443" t="s">
        <v>662</v>
      </c>
      <c r="O29" s="280" t="str">
        <f>TEXT(PotentialProduction,"#,##0")&amp;" "&amp;Ref_Volume_Unit</f>
        <v>7,300,000 Million Gallons</v>
      </c>
      <c r="P29" s="274" t="str">
        <f>TEXT(ReplaceableProduction,"#,##0")&amp;" "&amp;Ref_Volume_Unit</f>
        <v>7,300,000 Million Gallons</v>
      </c>
      <c r="Q29" s="26"/>
    </row>
    <row r="30" spans="2:17" x14ac:dyDescent="0.2">
      <c r="B30" s="302"/>
      <c r="C30" s="443"/>
      <c r="D30" s="208" t="str">
        <f>" of "&amp;EndUse_Product</f>
        <v xml:space="preserve"> of Cooled Waste Water</v>
      </c>
      <c r="E30" s="279" t="str">
        <f>" of "&amp;EndUse_Product</f>
        <v xml:space="preserve"> of Cooled Waste Water</v>
      </c>
      <c r="F30" s="647"/>
      <c r="G30" s="443"/>
      <c r="H30" s="443"/>
      <c r="I30" s="208" t="str">
        <f>" of "&amp;EndUse_Product</f>
        <v xml:space="preserve"> of Cooled Waste Water</v>
      </c>
      <c r="J30" s="279" t="str">
        <f>" of "&amp;EndUse_Product</f>
        <v xml:space="preserve"> of Cooled Waste Water</v>
      </c>
      <c r="K30" s="279" t="str">
        <f>" of "&amp;EndUse_Product</f>
        <v xml:space="preserve"> of Cooled Waste Water</v>
      </c>
      <c r="L30" s="45"/>
      <c r="M30" s="443"/>
      <c r="N30" s="443"/>
      <c r="O30" s="208" t="str">
        <f>" of "&amp;EndUse_Product</f>
        <v xml:space="preserve"> of Cooled Waste Water</v>
      </c>
      <c r="P30" s="279" t="str">
        <f>" of "&amp;EndUse_Product</f>
        <v xml:space="preserve"> of Cooled Waste Water</v>
      </c>
      <c r="Q30" s="26"/>
    </row>
    <row r="31" spans="2:17" ht="15" customHeight="1" x14ac:dyDescent="0.2">
      <c r="B31" s="302"/>
      <c r="C31" s="275"/>
      <c r="D31" s="141" t="s">
        <v>663</v>
      </c>
      <c r="E31" s="27"/>
      <c r="F31" s="647"/>
      <c r="G31" s="443"/>
      <c r="H31" s="275"/>
      <c r="I31" s="285"/>
      <c r="J31" s="668" t="s">
        <v>664</v>
      </c>
      <c r="K31" s="286"/>
      <c r="L31" s="45"/>
      <c r="M31" s="443"/>
      <c r="N31" s="275"/>
      <c r="O31" s="141" t="s">
        <v>665</v>
      </c>
      <c r="P31" s="27"/>
      <c r="Q31" s="26"/>
    </row>
    <row r="32" spans="2:17" x14ac:dyDescent="0.2">
      <c r="B32" s="654" t="s">
        <v>666</v>
      </c>
      <c r="C32" s="124" t="s">
        <v>484</v>
      </c>
      <c r="D32" s="254">
        <f>RefProcessCapEx_NewTech</f>
        <v>69.672766700163962</v>
      </c>
      <c r="E32" s="254">
        <f>RefProcessCapEx_Benchmark</f>
        <v>109.58904109589041</v>
      </c>
      <c r="F32" s="647"/>
      <c r="G32" s="654" t="s">
        <v>666</v>
      </c>
      <c r="H32" s="124" t="s">
        <v>484</v>
      </c>
      <c r="I32" s="198">
        <f>AnnualProcessCapEx_NewTech</f>
        <v>25430.559845559848</v>
      </c>
      <c r="J32" s="198">
        <f>AnnualProcessCapEx_Benchmark</f>
        <v>40000</v>
      </c>
      <c r="K32" s="198">
        <f>ScaledProcessCapEx_Benchmark</f>
        <v>40000</v>
      </c>
      <c r="L32" s="45"/>
      <c r="M32" s="654" t="s">
        <v>666</v>
      </c>
      <c r="N32" s="124" t="s">
        <v>484</v>
      </c>
      <c r="O32" s="198">
        <f>IF(D32&lt;&gt;"",IF(PotentialProduction&lt;&gt;"",PotentialProduction*D32/Ref_Volume,0),0)</f>
        <v>254305598.45559847</v>
      </c>
      <c r="P32" s="198">
        <f>IF(E32&lt;&gt;"",IF(PotentialProduction&lt;&gt;"",PotentialProduction*E32/Ref_Volume,0),0)</f>
        <v>400000000</v>
      </c>
      <c r="Q32" s="26"/>
    </row>
    <row r="33" spans="2:17" x14ac:dyDescent="0.2">
      <c r="B33" s="192"/>
      <c r="C33" s="124" t="s">
        <v>489</v>
      </c>
      <c r="D33" s="254">
        <f>RefNonProcessCapEx_NewTech</f>
        <v>3.9138943248532292</v>
      </c>
      <c r="E33" s="254">
        <f>RefNonProcessCapEx_Benchmark</f>
        <v>3.9138943248532292</v>
      </c>
      <c r="F33" s="647"/>
      <c r="G33" s="192"/>
      <c r="H33" s="124" t="s">
        <v>489</v>
      </c>
      <c r="I33" s="198">
        <f>AnnualNonProcessCapEx_NewTech</f>
        <v>1428.5714285714287</v>
      </c>
      <c r="J33" s="198">
        <f>AnnualNonProcessCapEx_Benchmark</f>
        <v>1428.5714285714287</v>
      </c>
      <c r="K33" s="198">
        <f>ScaledNonProcessCapEx_Benchmark</f>
        <v>1428.5714285714287</v>
      </c>
      <c r="L33" s="45"/>
      <c r="M33" s="192"/>
      <c r="N33" s="124" t="s">
        <v>489</v>
      </c>
      <c r="O33" s="198">
        <f t="shared" ref="O33:P35" si="0">IF(D33&lt;&gt;"",PotentialProduction*D33/Ref_Volume,0)</f>
        <v>14285714.285714287</v>
      </c>
      <c r="P33" s="198">
        <f t="shared" si="0"/>
        <v>14285714.285714287</v>
      </c>
      <c r="Q33" s="26"/>
    </row>
    <row r="34" spans="2:17" x14ac:dyDescent="0.2">
      <c r="B34" s="192"/>
      <c r="C34" s="124" t="s">
        <v>495</v>
      </c>
      <c r="D34" s="254">
        <f>RefConstructionCapEx_NewTech</f>
        <v>25.050739584986161</v>
      </c>
      <c r="E34" s="254">
        <f>RefConstructionCapEx_Benchmark</f>
        <v>55.890410958904106</v>
      </c>
      <c r="F34" s="647"/>
      <c r="G34" s="192"/>
      <c r="H34" s="124" t="s">
        <v>495</v>
      </c>
      <c r="I34" s="198">
        <f>AnnualConstructionCapEx_NewTech</f>
        <v>9143.5199485199482</v>
      </c>
      <c r="J34" s="198">
        <f>AnnualConstructionCapEx_Benchmark</f>
        <v>20400</v>
      </c>
      <c r="K34" s="198">
        <f>ScaledConstructionCapEx_Benchmark</f>
        <v>20400</v>
      </c>
      <c r="L34" s="45"/>
      <c r="M34" s="192"/>
      <c r="N34" s="124" t="s">
        <v>495</v>
      </c>
      <c r="O34" s="198">
        <f t="shared" si="0"/>
        <v>91435199.485199481</v>
      </c>
      <c r="P34" s="198">
        <f t="shared" si="0"/>
        <v>204000000</v>
      </c>
      <c r="Q34" s="26"/>
    </row>
    <row r="35" spans="2:17" x14ac:dyDescent="0.2">
      <c r="B35" s="192"/>
      <c r="C35" s="124" t="s">
        <v>667</v>
      </c>
      <c r="D35" s="254" t="str">
        <f>RefOtherCapEx_NewTech</f>
        <v/>
      </c>
      <c r="E35" s="254" t="str">
        <f>RefOtherCapEx_Benchmark</f>
        <v/>
      </c>
      <c r="F35" s="647"/>
      <c r="G35" s="192"/>
      <c r="H35" s="124" t="s">
        <v>667</v>
      </c>
      <c r="I35" s="198" t="str">
        <f>AnnualOtherCapEx_NewTech</f>
        <v/>
      </c>
      <c r="J35" s="198" t="str">
        <f>AnnualOtherCapEx_Benchmark</f>
        <v/>
      </c>
      <c r="K35" s="198" t="str">
        <f>ScaledOtherCapEx_Benchmark</f>
        <v/>
      </c>
      <c r="L35" s="45"/>
      <c r="M35" s="192"/>
      <c r="N35" s="124" t="s">
        <v>667</v>
      </c>
      <c r="O35" s="198">
        <f t="shared" si="0"/>
        <v>0</v>
      </c>
      <c r="P35" s="198">
        <f t="shared" si="0"/>
        <v>0</v>
      </c>
      <c r="Q35" s="26"/>
    </row>
    <row r="36" spans="2:17" x14ac:dyDescent="0.2">
      <c r="B36" s="192"/>
      <c r="C36" s="124" t="s">
        <v>668</v>
      </c>
      <c r="D36" s="254">
        <f>EquipMaintenanceRate_NewTech*SUM(D32:D35)</f>
        <v>4.9318700305001677</v>
      </c>
      <c r="E36" s="254">
        <f>EquipMaintenanceRate_Benchmark*SUM(E32:E35)</f>
        <v>8.4696673189823866</v>
      </c>
      <c r="F36" s="647"/>
      <c r="G36" s="192"/>
      <c r="H36" s="124" t="s">
        <v>668</v>
      </c>
      <c r="I36" s="198">
        <f>EquipMaintenanceRate_NewTech*SUM(I32:I35)</f>
        <v>1800.1325611325615</v>
      </c>
      <c r="J36" s="198">
        <f>EquipMaintenanceRate_Benchmark*SUM(J32:J35)</f>
        <v>3091.4285714285716</v>
      </c>
      <c r="K36" s="198">
        <f>EquipMaintenanceRate_Benchmark*SUM(K32:K35)</f>
        <v>3091.4285714285716</v>
      </c>
      <c r="L36" s="45"/>
      <c r="M36" s="192"/>
      <c r="N36" s="124" t="s">
        <v>668</v>
      </c>
      <c r="O36" s="198">
        <f>EquipMaintenanceRate_NewTech*SUM(O32:O35)</f>
        <v>18001325.61132561</v>
      </c>
      <c r="P36" s="198">
        <f>EquipMaintenanceRate_Benchmark*SUM(P32:P35)</f>
        <v>30914285.714285716</v>
      </c>
      <c r="Q36" s="26"/>
    </row>
    <row r="37" spans="2:17" x14ac:dyDescent="0.2">
      <c r="B37" s="654" t="s">
        <v>669</v>
      </c>
      <c r="C37" s="124" t="s">
        <v>670</v>
      </c>
      <c r="D37" s="254">
        <f>RefMatCost_NewTech</f>
        <v>14.04</v>
      </c>
      <c r="E37" s="254">
        <f>RefMatCost_Benchmark</f>
        <v>97.446842783505161</v>
      </c>
      <c r="F37" s="647"/>
      <c r="G37" s="654" t="s">
        <v>669</v>
      </c>
      <c r="H37" s="124" t="s">
        <v>670</v>
      </c>
      <c r="I37" s="198">
        <f>AnnualMatCost_NewTech</f>
        <v>5124.5999999999995</v>
      </c>
      <c r="J37" s="198">
        <f>AnnualMatCost_Benchmark</f>
        <v>35568.097615979379</v>
      </c>
      <c r="K37" s="198">
        <f>ScaledMatCost_Benchmark</f>
        <v>35568.097615979379</v>
      </c>
      <c r="L37" s="45"/>
      <c r="M37" s="654" t="s">
        <v>669</v>
      </c>
      <c r="N37" s="124" t="s">
        <v>670</v>
      </c>
      <c r="O37" s="198">
        <f t="shared" ref="O37:P40" si="1">IF(D37&gt;0,PotentialProduction*D37/Ref_Volume,0)</f>
        <v>51246000</v>
      </c>
      <c r="P37" s="198">
        <f t="shared" si="1"/>
        <v>355680976.15979385</v>
      </c>
      <c r="Q37" s="26"/>
    </row>
    <row r="38" spans="2:17" x14ac:dyDescent="0.2">
      <c r="B38" s="192"/>
      <c r="C38" s="124" t="s">
        <v>378</v>
      </c>
      <c r="D38" s="254">
        <f>RefEnergyCost_NewTech</f>
        <v>0.17844963944465791</v>
      </c>
      <c r="E38" s="254">
        <f>RefEnergyCost_Benchmark</f>
        <v>7.8887074310863925</v>
      </c>
      <c r="F38" s="647"/>
      <c r="G38" s="192"/>
      <c r="H38" s="124" t="s">
        <v>378</v>
      </c>
      <c r="I38" s="198">
        <f>AnnualEnergyCost_NewTech</f>
        <v>65.134118397300142</v>
      </c>
      <c r="J38" s="198">
        <f>AnnualEnergyCost_Benchmark</f>
        <v>2879.3782123465335</v>
      </c>
      <c r="K38" s="198">
        <f>ScaledEnergyCost_Benchmark</f>
        <v>2879.3782123465335</v>
      </c>
      <c r="L38" s="45"/>
      <c r="M38" s="192"/>
      <c r="N38" s="124" t="s">
        <v>378</v>
      </c>
      <c r="O38" s="198">
        <f t="shared" si="1"/>
        <v>651341.18397300143</v>
      </c>
      <c r="P38" s="198">
        <f t="shared" si="1"/>
        <v>28793782.123465333</v>
      </c>
      <c r="Q38" s="26"/>
    </row>
    <row r="39" spans="2:17" x14ac:dyDescent="0.2">
      <c r="B39" s="192"/>
      <c r="C39" s="124" t="s">
        <v>671</v>
      </c>
      <c r="D39" s="254">
        <f>RefLaborCost_NewTech</f>
        <v>3.3983140147523709</v>
      </c>
      <c r="E39" s="254">
        <f>RefLaborCost_Benchmark</f>
        <v>11.724183350895679</v>
      </c>
      <c r="F39" s="647"/>
      <c r="G39" s="192"/>
      <c r="H39" s="124" t="s">
        <v>671</v>
      </c>
      <c r="I39" s="198">
        <f>AnnualLaborCost_NewTech</f>
        <v>1240.3846153846155</v>
      </c>
      <c r="J39" s="198">
        <f>AnnualLaborCost_Benchmark</f>
        <v>4279.3269230769229</v>
      </c>
      <c r="K39" s="198">
        <f>ScaledLaborCost_Benchmark</f>
        <v>4279.3269230769229</v>
      </c>
      <c r="L39" s="45"/>
      <c r="M39" s="192"/>
      <c r="N39" s="124" t="s">
        <v>671</v>
      </c>
      <c r="O39" s="198">
        <f t="shared" si="1"/>
        <v>12403846.153846154</v>
      </c>
      <c r="P39" s="198">
        <f t="shared" si="1"/>
        <v>42793269.230769224</v>
      </c>
      <c r="Q39" s="26"/>
    </row>
    <row r="40" spans="2:17" x14ac:dyDescent="0.2">
      <c r="B40" s="193"/>
      <c r="C40" s="124" t="s">
        <v>565</v>
      </c>
      <c r="D40" s="254">
        <f>RefOtherRecurring_NewTech</f>
        <v>13.698630136986301</v>
      </c>
      <c r="E40" s="254">
        <f>RefOtherRecurring_Benchmark</f>
        <v>32.876712328767127</v>
      </c>
      <c r="F40" s="647"/>
      <c r="G40" s="192"/>
      <c r="H40" s="124" t="s">
        <v>565</v>
      </c>
      <c r="I40" s="198">
        <f>AnnualOtherRecurring_NewTech</f>
        <v>5000</v>
      </c>
      <c r="J40" s="198">
        <f>AnnualOtherRecurring_Benchmark</f>
        <v>12000</v>
      </c>
      <c r="K40" s="198">
        <f>ScaledOtherRecurring_Benchmark</f>
        <v>12000</v>
      </c>
      <c r="L40" s="45"/>
      <c r="M40" s="192"/>
      <c r="N40" s="124" t="s">
        <v>565</v>
      </c>
      <c r="O40" s="198">
        <f t="shared" si="1"/>
        <v>50000000</v>
      </c>
      <c r="P40" s="198">
        <f t="shared" si="1"/>
        <v>120000000.00000001</v>
      </c>
      <c r="Q40" s="26"/>
    </row>
    <row r="41" spans="2:17" x14ac:dyDescent="0.2">
      <c r="B41" s="654" t="s">
        <v>672</v>
      </c>
      <c r="C41" s="124" t="s">
        <v>673</v>
      </c>
      <c r="D41" s="254">
        <f>SUM(D32:D36)*(1+EquipMaintenanceRate_NewTech)</f>
        <v>108.74773417252869</v>
      </c>
      <c r="E41" s="254">
        <f>SUM(E32:E36)*(1+EquipMaintenanceRate_Benchmark)</f>
        <v>186.75616438356164</v>
      </c>
      <c r="F41" s="647"/>
      <c r="G41" s="654" t="s">
        <v>672</v>
      </c>
      <c r="H41" s="124" t="s">
        <v>673</v>
      </c>
      <c r="I41" s="198">
        <f>SUM(I32:I36)*(1+EquipMaintenanceRate_NewTech)</f>
        <v>39692.922972972978</v>
      </c>
      <c r="J41" s="198">
        <f>SUM(J32:J36)*(1+EquipMaintenanceRate_Benchmark)</f>
        <v>68166</v>
      </c>
      <c r="K41" s="198">
        <f>SUM(K32:K36)*(1+EquipMaintenanceRate_Benchmark)</f>
        <v>68166</v>
      </c>
      <c r="L41" s="45"/>
      <c r="M41" s="654" t="s">
        <v>672</v>
      </c>
      <c r="N41" s="124" t="s">
        <v>673</v>
      </c>
      <c r="O41" s="198">
        <f>SUM(O32:O36)*(1+EquipMaintenanceRate_NewTech)</f>
        <v>396929229.72972971</v>
      </c>
      <c r="P41" s="198">
        <f>SUM(P32:P36)*(1+EquipMaintenanceRate_Benchmark)</f>
        <v>681660000</v>
      </c>
      <c r="Q41" s="26"/>
    </row>
    <row r="42" spans="2:17" x14ac:dyDescent="0.2">
      <c r="B42" s="655"/>
      <c r="C42" s="124" t="s">
        <v>674</v>
      </c>
      <c r="D42" s="254">
        <f>SUM(D37:D40)</f>
        <v>31.315393791183332</v>
      </c>
      <c r="E42" s="254">
        <f>SUM(E37:E40)</f>
        <v>149.93644589425435</v>
      </c>
      <c r="F42" s="647"/>
      <c r="G42" s="655"/>
      <c r="H42" s="124" t="s">
        <v>674</v>
      </c>
      <c r="I42" s="198">
        <f>SUM(I37:I40)</f>
        <v>11430.118733781914</v>
      </c>
      <c r="J42" s="198">
        <f>SUM(J37:J40)</f>
        <v>54726.802751402836</v>
      </c>
      <c r="K42" s="198">
        <f>SUM(K37:K40)</f>
        <v>54726.802751402836</v>
      </c>
      <c r="L42" s="45"/>
      <c r="M42" s="655"/>
      <c r="N42" s="124" t="s">
        <v>674</v>
      </c>
      <c r="O42" s="198">
        <f>SUM(O37:O40)</f>
        <v>114301187.33781916</v>
      </c>
      <c r="P42" s="198">
        <f>SUM(P37:P40)</f>
        <v>547268027.51402843</v>
      </c>
      <c r="Q42" s="26"/>
    </row>
    <row r="43" spans="2:17" x14ac:dyDescent="0.2">
      <c r="B43" s="656"/>
      <c r="C43" s="235" t="s">
        <v>675</v>
      </c>
      <c r="D43" s="283">
        <f>SUM(D41:D42)</f>
        <v>140.06312796371202</v>
      </c>
      <c r="E43" s="283">
        <f t="shared" ref="E43" si="2">SUM(E41:E42)</f>
        <v>336.69261027781602</v>
      </c>
      <c r="F43" s="647"/>
      <c r="G43" s="656"/>
      <c r="H43" s="278" t="s">
        <v>675</v>
      </c>
      <c r="I43" s="281">
        <f>SUM(I41:I42)</f>
        <v>51123.041706754891</v>
      </c>
      <c r="J43" s="281">
        <f t="shared" ref="J43:K43" si="3">SUM(J41:J42)</f>
        <v>122892.80275140284</v>
      </c>
      <c r="K43" s="281">
        <f t="shared" si="3"/>
        <v>122892.80275140284</v>
      </c>
      <c r="L43" s="45"/>
      <c r="M43" s="656"/>
      <c r="N43" s="278" t="s">
        <v>675</v>
      </c>
      <c r="O43" s="281">
        <f>SUM(O41:O42)</f>
        <v>511230417.06754887</v>
      </c>
      <c r="P43" s="281">
        <f>SUM(P41:P42)</f>
        <v>1228928027.5140285</v>
      </c>
      <c r="Q43" s="26"/>
    </row>
    <row r="44" spans="2:17" ht="12" customHeight="1" x14ac:dyDescent="0.2">
      <c r="B44" s="646"/>
      <c r="C44" s="647"/>
      <c r="D44" s="647"/>
      <c r="E44" s="647"/>
      <c r="F44" s="647"/>
      <c r="G44" s="282" t="s">
        <v>676</v>
      </c>
      <c r="H44" s="60"/>
      <c r="I44" s="60"/>
      <c r="J44" s="60"/>
      <c r="K44" s="60"/>
      <c r="L44" s="45"/>
      <c r="M44" s="282" t="s">
        <v>677</v>
      </c>
      <c r="N44" s="647"/>
      <c r="O44" s="647"/>
      <c r="P44" s="647"/>
      <c r="Q44" s="26"/>
    </row>
    <row r="45" spans="2:17" x14ac:dyDescent="0.2">
      <c r="B45" s="646"/>
      <c r="C45" s="647"/>
      <c r="D45" s="647"/>
      <c r="E45" s="647"/>
      <c r="F45" s="647"/>
      <c r="G45" s="23" t="s">
        <v>678</v>
      </c>
      <c r="H45" s="24"/>
      <c r="I45" s="24"/>
      <c r="J45" s="24"/>
      <c r="K45" s="24"/>
      <c r="L45" s="45"/>
      <c r="M45" s="23" t="s">
        <v>679</v>
      </c>
      <c r="N45" s="647"/>
      <c r="O45" s="647"/>
      <c r="P45" s="647"/>
      <c r="Q45" s="26"/>
    </row>
    <row r="46" spans="2:17" ht="38.25" customHeight="1" x14ac:dyDescent="0.2">
      <c r="B46" s="1395" t="s">
        <v>680</v>
      </c>
      <c r="C46" s="1396"/>
      <c r="D46" s="1396"/>
      <c r="E46" s="1396"/>
      <c r="F46" s="1396"/>
      <c r="G46" s="299"/>
      <c r="H46" s="300"/>
      <c r="I46" s="300"/>
      <c r="J46" s="300"/>
      <c r="K46" s="300"/>
      <c r="L46" s="300"/>
      <c r="M46" s="299"/>
      <c r="N46" s="647"/>
      <c r="O46" s="647"/>
      <c r="P46" s="647"/>
      <c r="Q46" s="26"/>
    </row>
    <row r="47" spans="2:17" ht="16" x14ac:dyDescent="0.2">
      <c r="B47" s="646"/>
      <c r="C47" s="297">
        <f>P43-O43</f>
        <v>717697610.44647968</v>
      </c>
      <c r="D47" s="290" t="s">
        <v>681</v>
      </c>
      <c r="E47" s="647"/>
      <c r="F47" s="647"/>
      <c r="H47" s="300"/>
      <c r="I47" s="300"/>
      <c r="J47" s="300"/>
      <c r="K47" s="300"/>
      <c r="L47" s="300"/>
      <c r="M47" s="299"/>
      <c r="N47" s="647"/>
      <c r="O47" s="647"/>
      <c r="P47" s="647"/>
      <c r="Q47" s="26"/>
    </row>
    <row r="48" spans="2:17" ht="17" x14ac:dyDescent="0.2">
      <c r="B48" s="303"/>
      <c r="C48" s="298" t="str">
        <f>"("&amp;TEXT(C47/P43,"0.0%")</f>
        <v>(58.4%</v>
      </c>
      <c r="D48" s="290" t="s">
        <v>682</v>
      </c>
      <c r="E48" s="647"/>
      <c r="F48" s="647"/>
      <c r="G48" s="307" t="str">
        <f>IF(C47&lt;0,"Warning: Analysis is currently showing a cost increase for the new technology.","")</f>
        <v/>
      </c>
      <c r="H48" s="300"/>
      <c r="I48" s="300"/>
      <c r="J48" s="300"/>
      <c r="K48" s="300"/>
      <c r="L48" s="300"/>
      <c r="M48" s="299"/>
      <c r="N48" s="647"/>
      <c r="O48" s="647"/>
      <c r="P48" s="647"/>
      <c r="Q48" s="26"/>
    </row>
    <row r="49" spans="2:17" x14ac:dyDescent="0.2">
      <c r="B49" s="84"/>
      <c r="C49" s="291"/>
      <c r="D49" s="292"/>
      <c r="E49" s="659"/>
      <c r="F49" s="210"/>
      <c r="G49" s="210"/>
      <c r="H49" s="45"/>
      <c r="I49" s="45"/>
      <c r="J49" s="45"/>
      <c r="K49" s="45"/>
      <c r="L49" s="45"/>
      <c r="M49" s="45"/>
      <c r="N49" s="45"/>
      <c r="O49" s="45"/>
      <c r="P49" s="45"/>
      <c r="Q49" s="12"/>
    </row>
    <row r="50" spans="2:17" ht="18" x14ac:dyDescent="0.2">
      <c r="B50" s="144" t="s">
        <v>683</v>
      </c>
      <c r="C50" s="145"/>
      <c r="D50" s="145"/>
      <c r="E50" s="145"/>
      <c r="F50" s="145"/>
      <c r="G50" s="145"/>
      <c r="H50" s="145"/>
      <c r="I50" s="145"/>
      <c r="J50" s="145"/>
      <c r="K50" s="145"/>
      <c r="L50" s="145"/>
      <c r="M50" s="145"/>
      <c r="N50" s="64"/>
      <c r="O50" s="64"/>
      <c r="P50" s="64"/>
      <c r="Q50" s="306"/>
    </row>
    <row r="51" spans="2:17" x14ac:dyDescent="0.2">
      <c r="B51" s="84"/>
      <c r="C51" s="291"/>
      <c r="D51" s="292"/>
      <c r="E51" s="659"/>
      <c r="F51" s="210"/>
      <c r="G51" s="210"/>
      <c r="H51" s="45"/>
      <c r="I51" s="45"/>
      <c r="J51" s="45"/>
      <c r="K51" s="45"/>
      <c r="L51" s="45"/>
      <c r="M51" s="45"/>
      <c r="N51" s="45"/>
      <c r="O51" s="45"/>
      <c r="P51" s="45"/>
      <c r="Q51" s="12"/>
    </row>
    <row r="52" spans="2:17" x14ac:dyDescent="0.2">
      <c r="B52" s="100" t="s">
        <v>684</v>
      </c>
      <c r="C52" s="45"/>
      <c r="D52" s="45"/>
      <c r="E52" s="45"/>
      <c r="F52" s="45"/>
      <c r="H52" s="45"/>
      <c r="I52" s="295" t="s">
        <v>684</v>
      </c>
      <c r="J52" s="45"/>
      <c r="K52" s="45"/>
      <c r="L52" s="45"/>
      <c r="M52" s="45"/>
      <c r="N52" s="45"/>
      <c r="O52" s="45"/>
      <c r="P52" s="45"/>
      <c r="Q52" s="12"/>
    </row>
    <row r="53" spans="2:17" x14ac:dyDescent="0.2">
      <c r="B53" s="138" t="s">
        <v>656</v>
      </c>
      <c r="C53" s="45"/>
      <c r="D53" s="1321" t="s">
        <v>161</v>
      </c>
      <c r="E53" s="1401"/>
      <c r="F53" s="1321" t="s">
        <v>162</v>
      </c>
      <c r="G53" s="1401"/>
      <c r="H53" s="45"/>
      <c r="I53" s="284" t="s">
        <v>660</v>
      </c>
      <c r="J53" s="45"/>
      <c r="K53" s="1321" t="s">
        <v>161</v>
      </c>
      <c r="L53" s="1401"/>
      <c r="M53" s="1321" t="s">
        <v>162</v>
      </c>
      <c r="N53" s="1401"/>
      <c r="O53" s="45"/>
      <c r="P53" s="45"/>
      <c r="Q53" s="12"/>
    </row>
    <row r="54" spans="2:17" ht="29" x14ac:dyDescent="0.2">
      <c r="B54" s="293" t="s">
        <v>685</v>
      </c>
      <c r="C54" s="443" t="s">
        <v>163</v>
      </c>
      <c r="D54" s="393" t="str">
        <f>New_Technology</f>
        <v>Waste Heat Recovery (Heat Pump)</v>
      </c>
      <c r="E54" s="392"/>
      <c r="F54" s="402" t="str">
        <f>Commercial_Benchmark</f>
        <v>Evaporative Condenser</v>
      </c>
      <c r="G54" s="403"/>
      <c r="H54" s="45"/>
      <c r="I54" s="212" t="s">
        <v>686</v>
      </c>
      <c r="J54" s="443" t="s">
        <v>163</v>
      </c>
      <c r="K54" s="404" t="str">
        <f>New_Technology</f>
        <v>Waste Heat Recovery (Heat Pump)</v>
      </c>
      <c r="L54" s="403"/>
      <c r="M54" s="399" t="str">
        <f>Commercial_Benchmark</f>
        <v>Evaporative Condenser</v>
      </c>
      <c r="N54" s="405"/>
      <c r="O54" s="45"/>
      <c r="P54" s="45"/>
      <c r="Q54" s="12"/>
    </row>
    <row r="55" spans="2:17" x14ac:dyDescent="0.2">
      <c r="B55" s="100"/>
      <c r="C55" s="443" t="s">
        <v>175</v>
      </c>
      <c r="D55" s="280" t="str">
        <f>TEXT(Ref_Volume,"#,##0")&amp;" "&amp;Ref_Volume_Unit</f>
        <v>2 Million Gallons</v>
      </c>
      <c r="E55" s="400"/>
      <c r="F55" s="280" t="str">
        <f>TEXT(Ref_Volume_Benchmark,"#,##0")&amp;" "&amp;Ref_Volume_Unit</f>
        <v>2 Million Gallons</v>
      </c>
      <c r="G55" s="394"/>
      <c r="H55" s="45"/>
      <c r="I55" s="295"/>
      <c r="J55" s="443" t="s">
        <v>687</v>
      </c>
      <c r="K55" s="280" t="str">
        <f>TEXT(PotentialProduction,"#,##0")&amp;" "&amp;Ref_Volume_Unit</f>
        <v>7,300,000 Million Gallons</v>
      </c>
      <c r="L55" s="400"/>
      <c r="M55" s="274" t="str">
        <f>TEXT(ReplaceableProduction,"#,##0")&amp;" "&amp;Ref_Volume_Unit</f>
        <v>7,300,000 Million Gallons</v>
      </c>
      <c r="N55" s="405"/>
      <c r="O55" s="45"/>
      <c r="P55" s="45"/>
      <c r="Q55" s="12"/>
    </row>
    <row r="56" spans="2:17" x14ac:dyDescent="0.2">
      <c r="B56" s="100"/>
      <c r="C56" s="443"/>
      <c r="D56" s="208" t="str">
        <f>" of "&amp;EndUse_Product</f>
        <v xml:space="preserve"> of Cooled Waste Water</v>
      </c>
      <c r="E56" s="401"/>
      <c r="F56" s="208" t="str">
        <f>" of "&amp;EndUse_Product</f>
        <v xml:space="preserve"> of Cooled Waste Water</v>
      </c>
      <c r="G56" s="395"/>
      <c r="H56" s="45"/>
      <c r="I56" s="295"/>
      <c r="J56" s="443"/>
      <c r="K56" s="208" t="str">
        <f>" of "&amp;EndUse_Product</f>
        <v xml:space="preserve"> of Cooled Waste Water</v>
      </c>
      <c r="L56" s="401"/>
      <c r="M56" s="279" t="str">
        <f>" of "&amp;EndUse_Product</f>
        <v xml:space="preserve"> of Cooled Waste Water</v>
      </c>
      <c r="N56" s="406"/>
      <c r="O56" s="45"/>
      <c r="P56" s="45"/>
      <c r="Q56" s="12"/>
    </row>
    <row r="57" spans="2:17" x14ac:dyDescent="0.2">
      <c r="B57" s="100"/>
      <c r="C57" s="443"/>
      <c r="D57" s="208" t="s">
        <v>378</v>
      </c>
      <c r="E57" s="208" t="s">
        <v>688</v>
      </c>
      <c r="F57" s="208" t="s">
        <v>378</v>
      </c>
      <c r="G57" s="208" t="s">
        <v>688</v>
      </c>
      <c r="H57" s="45"/>
      <c r="I57" s="295"/>
      <c r="J57" s="443"/>
      <c r="K57" s="208" t="s">
        <v>378</v>
      </c>
      <c r="L57" s="208" t="s">
        <v>688</v>
      </c>
      <c r="M57" s="208" t="s">
        <v>378</v>
      </c>
      <c r="N57" s="208" t="s">
        <v>688</v>
      </c>
      <c r="O57" s="45"/>
      <c r="P57" s="45"/>
      <c r="Q57" s="12"/>
    </row>
    <row r="58" spans="2:17" x14ac:dyDescent="0.2">
      <c r="B58" s="654" t="s">
        <v>689</v>
      </c>
      <c r="C58" s="179" t="s">
        <v>670</v>
      </c>
      <c r="D58" s="353">
        <f>RefEmbodiedEnergy_NewTech</f>
        <v>0.2530394212975059</v>
      </c>
      <c r="E58" s="396">
        <f>RefEmbodiedEmissions_NewTech</f>
        <v>15.27594515568493</v>
      </c>
      <c r="F58" s="353">
        <f>RefEmbodiedEnergy_Benchmark</f>
        <v>0.45966349730188694</v>
      </c>
      <c r="G58" s="396">
        <f>RefEmbodiedEmissions_Benchmark</f>
        <v>52.28331132981274</v>
      </c>
      <c r="H58" s="45"/>
      <c r="I58" s="654" t="s">
        <v>690</v>
      </c>
      <c r="J58" s="124" t="s">
        <v>670</v>
      </c>
      <c r="K58" s="499">
        <f>IF(D58&gt;0,D58*0.000001*PotentialProduction/Ref_Volume,0)</f>
        <v>0.92359388773589646</v>
      </c>
      <c r="L58" s="501">
        <f>IF(E58&gt;0,E58*(1/2000)*0.000001*PotentialProduction/Ref_Volume,0)</f>
        <v>2.7878599909124998E-2</v>
      </c>
      <c r="M58" s="499">
        <f>IF(F58&gt;0,F58*0.000001*PotentialProduction/Ref_Volume,0)</f>
        <v>1.6777717651518871</v>
      </c>
      <c r="N58" s="501">
        <f>IF(G58&gt;0,G58*(1/2000)*0.000001*PotentialProduction/Ref_Volume,0)</f>
        <v>9.5417043176908245E-2</v>
      </c>
      <c r="O58" s="45"/>
      <c r="P58" s="45"/>
      <c r="Q58" s="12"/>
    </row>
    <row r="59" spans="2:17" x14ac:dyDescent="0.2">
      <c r="B59" s="193"/>
      <c r="C59" s="179" t="s">
        <v>111</v>
      </c>
      <c r="D59" s="354">
        <f>RefManufEnergy_NewTech</f>
        <v>2.7086726250449149E-2</v>
      </c>
      <c r="E59" s="397">
        <f>RefManufEmissions_NewTech+RefProcessEmissions_NewTech</f>
        <v>66.192010086775895</v>
      </c>
      <c r="F59" s="955">
        <f>RefManufEnergy_Benchmark</f>
        <v>1.0747498800969462</v>
      </c>
      <c r="G59" s="397">
        <f>RefManufEmissions_Benchmark+RefProcessEmissions_Benchmark</f>
        <v>42.05135495112755</v>
      </c>
      <c r="H59" s="45"/>
      <c r="I59" s="193"/>
      <c r="J59" s="124" t="s">
        <v>111</v>
      </c>
      <c r="K59" s="499">
        <f>IF(D59&gt;0,D59*0.000001*PotentialProduction/Ref_Volume,0)</f>
        <v>9.8866550814139392E-2</v>
      </c>
      <c r="L59" s="501">
        <f>IF(E59&gt;0,E59*(1/2000)*0.000001*PotentialProduction/Ref_Volume,0)</f>
        <v>0.12080041840836603</v>
      </c>
      <c r="M59" s="499">
        <f>IF(F59&gt;0,F59*0.000001*PotentialProduction/Ref_Volume,0)</f>
        <v>3.9228370623538531</v>
      </c>
      <c r="N59" s="501">
        <f>IF(G59&gt;0,G59*(1/2000)*0.000001*PotentialProduction/Ref_Volume,0)</f>
        <v>7.674372278580778E-2</v>
      </c>
      <c r="O59" s="45"/>
      <c r="P59" s="45"/>
      <c r="Q59" s="12"/>
    </row>
    <row r="60" spans="2:17" x14ac:dyDescent="0.2">
      <c r="B60" s="442" t="s">
        <v>371</v>
      </c>
      <c r="C60" s="124" t="s">
        <v>691</v>
      </c>
      <c r="D60" s="355">
        <f>SUM(D58:D59)</f>
        <v>0.28012614754795506</v>
      </c>
      <c r="E60" s="398">
        <f>SUM(E58:E59)</f>
        <v>81.467955242460818</v>
      </c>
      <c r="F60" s="355">
        <f>SUM(F58:F59)</f>
        <v>1.5344133773988331</v>
      </c>
      <c r="G60" s="398">
        <f>SUM(G58:G59)</f>
        <v>94.334666280940297</v>
      </c>
      <c r="H60" s="45"/>
      <c r="I60" s="654" t="s">
        <v>692</v>
      </c>
      <c r="J60" s="179" t="s">
        <v>693</v>
      </c>
      <c r="K60" s="499">
        <f>'Use Phase Energy'!M35</f>
        <v>86.410985718984719</v>
      </c>
      <c r="L60" s="501">
        <f>'Use Phase Energy'!O35</f>
        <v>-8.6778667774861944</v>
      </c>
      <c r="M60" s="499">
        <f>'Use Phase Energy'!H35</f>
        <v>127.46278827441921</v>
      </c>
      <c r="N60" s="501">
        <f>'Use Phase Energy'!J35</f>
        <v>2.4202735003366289</v>
      </c>
      <c r="O60" s="45"/>
      <c r="P60" s="45"/>
      <c r="Q60" s="12"/>
    </row>
    <row r="61" spans="2:17" ht="15" customHeight="1" x14ac:dyDescent="0.2">
      <c r="B61" s="1397" t="s">
        <v>694</v>
      </c>
      <c r="C61" s="1398"/>
      <c r="D61" s="1398"/>
      <c r="E61" s="1398"/>
      <c r="F61" s="45"/>
      <c r="G61" s="45"/>
      <c r="H61" s="45"/>
      <c r="I61" s="654" t="s">
        <v>695</v>
      </c>
      <c r="J61" s="296" t="s">
        <v>696</v>
      </c>
      <c r="K61" s="499">
        <f>SUM(K58:K59)</f>
        <v>1.0224604385500358</v>
      </c>
      <c r="L61" s="501">
        <f>SUM(L58:L59)</f>
        <v>0.14867901831749103</v>
      </c>
      <c r="M61" s="499">
        <f>SUM(M58:M59)</f>
        <v>5.6006088275057397</v>
      </c>
      <c r="N61" s="501">
        <f>SUM(N58:N59)</f>
        <v>0.17216076596271601</v>
      </c>
      <c r="O61" s="45"/>
      <c r="P61" s="45"/>
      <c r="Q61" s="12"/>
    </row>
    <row r="62" spans="2:17" x14ac:dyDescent="0.2">
      <c r="B62" s="1399"/>
      <c r="C62" s="1400"/>
      <c r="D62" s="1400"/>
      <c r="E62" s="1400"/>
      <c r="F62" s="45"/>
      <c r="G62" s="45"/>
      <c r="H62" s="45"/>
      <c r="I62" s="277"/>
      <c r="J62" s="124" t="s">
        <v>697</v>
      </c>
      <c r="K62" s="499">
        <f>SUM(K60)</f>
        <v>86.410985718984719</v>
      </c>
      <c r="L62" s="501">
        <f>SUM(L60)</f>
        <v>-8.6778667774861944</v>
      </c>
      <c r="M62" s="499">
        <f>SUM(M60)</f>
        <v>127.46278827441921</v>
      </c>
      <c r="N62" s="501">
        <f>SUM(N60)</f>
        <v>2.4202735003366289</v>
      </c>
      <c r="O62" s="45"/>
      <c r="P62" s="45"/>
      <c r="Q62" s="12"/>
    </row>
    <row r="63" spans="2:17" x14ac:dyDescent="0.2">
      <c r="B63" s="1399"/>
      <c r="C63" s="1400"/>
      <c r="D63" s="1400"/>
      <c r="E63" s="1400"/>
      <c r="F63" s="45"/>
      <c r="G63" s="45"/>
      <c r="H63" s="45"/>
      <c r="I63" s="656"/>
      <c r="J63" s="276" t="s">
        <v>698</v>
      </c>
      <c r="K63" s="500">
        <f>SUM(K61:K62)</f>
        <v>87.43344615753476</v>
      </c>
      <c r="L63" s="502">
        <f>SUM(L61:L62)</f>
        <v>-8.5291877591687033</v>
      </c>
      <c r="M63" s="500">
        <f>SUM(M61:M62)</f>
        <v>133.06339710192495</v>
      </c>
      <c r="N63" s="502">
        <f>SUM(N61:N62)</f>
        <v>2.5924342662993451</v>
      </c>
      <c r="O63" s="45"/>
      <c r="P63" s="45"/>
      <c r="Q63" s="12"/>
    </row>
    <row r="64" spans="2:17" x14ac:dyDescent="0.2">
      <c r="B64" s="211"/>
      <c r="C64" s="21"/>
      <c r="D64" s="294"/>
      <c r="E64" s="45"/>
      <c r="F64" s="45"/>
      <c r="G64" s="45"/>
      <c r="H64" s="45"/>
      <c r="I64" s="21" t="s">
        <v>699</v>
      </c>
      <c r="J64" s="45"/>
      <c r="K64" s="45"/>
      <c r="L64" s="45"/>
      <c r="M64" s="45"/>
      <c r="N64" s="45"/>
      <c r="O64" s="45"/>
      <c r="P64" s="45"/>
      <c r="Q64" s="12"/>
    </row>
    <row r="65" spans="2:17" x14ac:dyDescent="0.2">
      <c r="B65" s="211"/>
      <c r="C65" s="21"/>
      <c r="D65" s="294"/>
      <c r="E65" s="45"/>
      <c r="F65" s="45"/>
      <c r="G65" s="45"/>
      <c r="H65" s="45"/>
      <c r="I65" s="21" t="s">
        <v>700</v>
      </c>
      <c r="J65" s="45"/>
      <c r="K65" s="45"/>
      <c r="L65" s="45"/>
      <c r="M65" s="45"/>
      <c r="N65" s="45"/>
      <c r="O65" s="45"/>
      <c r="P65" s="45"/>
      <c r="Q65" s="12"/>
    </row>
    <row r="66" spans="2:17" x14ac:dyDescent="0.2">
      <c r="B66" s="211"/>
      <c r="C66" s="21"/>
      <c r="D66" s="294"/>
      <c r="E66" s="45"/>
      <c r="F66" s="45"/>
      <c r="G66" s="21"/>
      <c r="H66" s="45"/>
      <c r="I66" s="45"/>
      <c r="J66" s="45"/>
      <c r="K66" s="45"/>
      <c r="L66" s="45"/>
      <c r="M66" s="45"/>
      <c r="N66" s="45"/>
      <c r="O66" s="45"/>
      <c r="P66" s="45"/>
      <c r="Q66" s="12"/>
    </row>
    <row r="67" spans="2:17" ht="36.75" customHeight="1" x14ac:dyDescent="0.2">
      <c r="B67" s="1395" t="s">
        <v>701</v>
      </c>
      <c r="C67" s="1396"/>
      <c r="D67" s="1396"/>
      <c r="E67" s="1396"/>
      <c r="F67" s="1396"/>
      <c r="G67" s="21"/>
      <c r="H67" s="45"/>
      <c r="I67" s="45"/>
      <c r="J67" s="45"/>
      <c r="K67" s="45"/>
      <c r="L67" s="45"/>
      <c r="M67" s="45"/>
      <c r="N67" s="45"/>
      <c r="O67" s="45"/>
      <c r="P67" s="45"/>
      <c r="Q67" s="12"/>
    </row>
    <row r="68" spans="2:17" ht="16" x14ac:dyDescent="0.2">
      <c r="B68" s="304"/>
      <c r="C68" s="515">
        <f>M63-K63</f>
        <v>45.629950944390188</v>
      </c>
      <c r="D68" s="290" t="s">
        <v>702</v>
      </c>
      <c r="E68" s="647"/>
      <c r="F68" s="647"/>
      <c r="G68" s="21"/>
      <c r="H68" s="45"/>
      <c r="I68" s="45"/>
      <c r="J68" s="45"/>
      <c r="K68" s="45"/>
      <c r="L68" s="45"/>
      <c r="M68" s="45"/>
      <c r="N68" s="45"/>
      <c r="O68" s="45"/>
      <c r="P68" s="45"/>
      <c r="Q68" s="12"/>
    </row>
    <row r="69" spans="2:17" ht="17" x14ac:dyDescent="0.2">
      <c r="B69" s="304"/>
      <c r="C69" s="298" t="str">
        <f>IF(M63&gt;0,"("&amp;TEXT(C68/M63,"0.0%"),"(TBD")</f>
        <v>(34.3%</v>
      </c>
      <c r="D69" s="290" t="s">
        <v>703</v>
      </c>
      <c r="E69" s="647"/>
      <c r="F69" s="647"/>
      <c r="G69" s="307" t="str">
        <f>IF(C68&lt;0,"Warning: Analysis is currently showing a life cycle energy increase for the new technology.","")</f>
        <v/>
      </c>
      <c r="H69" s="45"/>
      <c r="I69" s="45"/>
      <c r="J69" s="45"/>
      <c r="K69" s="45"/>
      <c r="L69" s="45"/>
      <c r="M69" s="45"/>
      <c r="N69" s="45"/>
      <c r="O69" s="45"/>
      <c r="P69" s="45"/>
      <c r="Q69" s="12"/>
    </row>
    <row r="70" spans="2:17" ht="16" x14ac:dyDescent="0.2">
      <c r="B70" s="304"/>
      <c r="C70" s="298"/>
      <c r="D70" s="290"/>
      <c r="E70" s="647"/>
      <c r="F70" s="647"/>
      <c r="G70" s="307"/>
      <c r="H70" s="45"/>
      <c r="I70" s="45"/>
      <c r="J70" s="45"/>
      <c r="K70" s="45"/>
      <c r="L70" s="45"/>
      <c r="M70" s="45"/>
      <c r="N70" s="45"/>
      <c r="O70" s="45"/>
      <c r="P70" s="45"/>
      <c r="Q70" s="12"/>
    </row>
    <row r="71" spans="2:17" ht="16" x14ac:dyDescent="0.2">
      <c r="B71" s="407"/>
      <c r="C71" s="761">
        <f>N63-L63</f>
        <v>11.121622025468049</v>
      </c>
      <c r="D71" s="290" t="s">
        <v>704</v>
      </c>
      <c r="E71" s="647"/>
      <c r="F71" s="647"/>
      <c r="G71" s="307"/>
      <c r="H71" s="45"/>
      <c r="I71" s="45"/>
      <c r="J71" s="45"/>
      <c r="K71" s="45"/>
      <c r="L71" s="45"/>
      <c r="M71" s="45"/>
      <c r="N71" s="45"/>
      <c r="O71" s="45"/>
      <c r="P71" s="45"/>
      <c r="Q71" s="12"/>
    </row>
    <row r="72" spans="2:17" ht="17" x14ac:dyDescent="0.2">
      <c r="B72" s="304"/>
      <c r="C72" s="298" t="str">
        <f>IF(N63&gt;0,"("&amp;TEXT(C71/N63,"0.0%"),"(TBD")</f>
        <v>(429.0%</v>
      </c>
      <c r="D72" s="290" t="s">
        <v>705</v>
      </c>
      <c r="E72" s="647"/>
      <c r="F72" s="647"/>
      <c r="G72" s="307"/>
      <c r="H72" s="45"/>
      <c r="I72" s="45"/>
      <c r="J72" s="45"/>
      <c r="K72" s="45"/>
      <c r="L72" s="45"/>
      <c r="M72" s="45"/>
      <c r="N72" s="45"/>
      <c r="O72" s="45"/>
      <c r="P72" s="45"/>
      <c r="Q72" s="12"/>
    </row>
    <row r="73" spans="2:17" x14ac:dyDescent="0.2">
      <c r="B73" s="88"/>
      <c r="C73" s="89"/>
      <c r="D73" s="89"/>
      <c r="E73" s="89"/>
      <c r="F73" s="89"/>
      <c r="G73" s="89"/>
      <c r="H73" s="89"/>
      <c r="I73" s="89"/>
      <c r="J73" s="89"/>
      <c r="K73" s="89"/>
      <c r="L73" s="89"/>
      <c r="M73" s="89"/>
      <c r="N73" s="305"/>
      <c r="O73" s="242"/>
      <c r="P73" s="242" t="s">
        <v>706</v>
      </c>
      <c r="Q73" s="90"/>
    </row>
    <row r="74" spans="2:17" x14ac:dyDescent="0.2">
      <c r="B74" s="1206" t="s">
        <v>124</v>
      </c>
      <c r="C74" s="1169"/>
      <c r="D74" s="1170"/>
    </row>
  </sheetData>
  <mergeCells count="12">
    <mergeCell ref="B74:D74"/>
    <mergeCell ref="B67:F67"/>
    <mergeCell ref="B46:F46"/>
    <mergeCell ref="B61:E63"/>
    <mergeCell ref="B1:M1"/>
    <mergeCell ref="B2:M2"/>
    <mergeCell ref="B3:M3"/>
    <mergeCell ref="B5:M5"/>
    <mergeCell ref="D53:E53"/>
    <mergeCell ref="F53:G53"/>
    <mergeCell ref="K53:L53"/>
    <mergeCell ref="M53:N53"/>
  </mergeCells>
  <hyperlinks>
    <hyperlink ref="B74:D74" location="FullDataLanding" display="Return to Home Page" xr:uid="{742CA030-A184-473C-B9B4-900638814987}"/>
  </hyperlinks>
  <pageMargins left="0.25" right="0.25" top="0.75" bottom="0.75" header="0.3" footer="0.3"/>
  <pageSetup scale="30"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017D3-41C7-433E-A5B9-93EF2D2FB646}">
  <sheetPr>
    <tabColor rgb="FF002060"/>
    <pageSetUpPr fitToPage="1"/>
  </sheetPr>
  <dimension ref="A1:AD51"/>
  <sheetViews>
    <sheetView tabSelected="1" topLeftCell="A10" zoomScale="110" zoomScaleNormal="110" workbookViewId="0">
      <selection activeCell="D7" sqref="D7"/>
    </sheetView>
  </sheetViews>
  <sheetFormatPr baseColWidth="10" defaultColWidth="8.83203125" defaultRowHeight="15" x14ac:dyDescent="0.2"/>
  <cols>
    <col min="1" max="1" width="2.6640625" customWidth="1"/>
    <col min="2" max="2" width="8.5" customWidth="1"/>
    <col min="3" max="4" width="25.6640625" customWidth="1"/>
    <col min="5" max="5" width="6.5" customWidth="1"/>
    <col min="6" max="7" width="25.6640625" customWidth="1"/>
    <col min="8" max="8" width="6.5" customWidth="1"/>
    <col min="9" max="10" width="25.6640625" customWidth="1"/>
    <col min="11" max="11" width="6.5" customWidth="1"/>
    <col min="12" max="13" width="25.6640625" customWidth="1"/>
    <col min="14" max="14" width="6.5" customWidth="1"/>
    <col min="15" max="16" width="25.6640625" customWidth="1"/>
    <col min="17" max="17" width="6.5" customWidth="1"/>
    <col min="18" max="19" width="25.6640625" customWidth="1"/>
    <col min="20" max="20" width="4.6640625" customWidth="1"/>
    <col min="21" max="21" width="2.6640625" customWidth="1"/>
    <col min="22" max="22" width="31.5" customWidth="1"/>
    <col min="23" max="23" width="22.33203125" style="358" customWidth="1"/>
    <col min="24" max="24" width="39.33203125" style="358" customWidth="1"/>
    <col min="25" max="25" width="29.5" style="358" customWidth="1"/>
    <col min="26" max="26" width="42.5" style="358" customWidth="1"/>
    <col min="27" max="27" width="36" style="358" customWidth="1"/>
    <col min="28" max="28" width="10.6640625" style="358" customWidth="1"/>
    <col min="29" max="29" width="10.6640625" style="359" customWidth="1"/>
    <col min="30" max="30" width="9.33203125" style="322"/>
  </cols>
  <sheetData>
    <row r="1" spans="1:30" ht="15.75" customHeight="1" x14ac:dyDescent="0.2">
      <c r="A1" s="17"/>
      <c r="B1" s="1159" t="s">
        <v>0</v>
      </c>
      <c r="C1" s="1160"/>
      <c r="D1" s="1160"/>
      <c r="E1" s="1160"/>
      <c r="F1" s="1160"/>
      <c r="G1" s="1160"/>
      <c r="H1" s="1160"/>
      <c r="I1" s="1160"/>
      <c r="J1" s="1160"/>
      <c r="K1" s="1160"/>
      <c r="L1" s="1160"/>
      <c r="M1" s="1160"/>
      <c r="N1" s="1160"/>
      <c r="O1" s="1160"/>
      <c r="P1" s="1160"/>
      <c r="Q1" s="1160"/>
      <c r="R1" s="1160"/>
      <c r="S1" s="1160"/>
      <c r="T1" s="1160"/>
      <c r="U1" s="665"/>
      <c r="V1" s="323"/>
      <c r="AC1" s="357"/>
    </row>
    <row r="2" spans="1:30" ht="21" customHeight="1" x14ac:dyDescent="0.2">
      <c r="A2" s="17"/>
      <c r="B2" s="1161" t="s">
        <v>1</v>
      </c>
      <c r="C2" s="1162"/>
      <c r="D2" s="1162"/>
      <c r="E2" s="1162"/>
      <c r="F2" s="1162"/>
      <c r="G2" s="1162"/>
      <c r="H2" s="1162"/>
      <c r="I2" s="1162"/>
      <c r="J2" s="1162"/>
      <c r="K2" s="1162"/>
      <c r="L2" s="1162"/>
      <c r="M2" s="1333"/>
      <c r="N2" s="1333"/>
      <c r="O2" s="1333"/>
      <c r="P2" s="1333"/>
      <c r="Q2" s="1333"/>
      <c r="R2" s="1162"/>
      <c r="S2" s="1162"/>
      <c r="T2" s="1162"/>
      <c r="U2" s="1065"/>
      <c r="V2" s="323"/>
      <c r="W2" s="479" t="s">
        <v>707</v>
      </c>
      <c r="AC2" s="357"/>
    </row>
    <row r="3" spans="1:30" ht="39" customHeight="1" x14ac:dyDescent="0.2">
      <c r="A3" s="17"/>
      <c r="B3" s="1402" t="str">
        <f>"Results Summary Plots"</f>
        <v>Results Summary Plots</v>
      </c>
      <c r="C3" s="1403"/>
      <c r="D3" s="1404" t="s">
        <v>708</v>
      </c>
      <c r="E3" s="1405"/>
      <c r="F3" s="1405"/>
      <c r="G3" s="1405"/>
      <c r="H3" s="1406"/>
      <c r="I3" s="1095"/>
      <c r="J3" s="1095"/>
      <c r="K3" s="1095"/>
      <c r="L3" s="1404" t="s">
        <v>709</v>
      </c>
      <c r="M3" s="1405"/>
      <c r="N3" s="1405"/>
      <c r="O3" s="1405"/>
      <c r="P3" s="1405"/>
      <c r="Q3" s="1405"/>
      <c r="R3" s="1405"/>
      <c r="S3" s="1406"/>
      <c r="T3" s="1063"/>
      <c r="U3" s="1072"/>
      <c r="V3" s="323"/>
      <c r="W3" s="322"/>
      <c r="X3" s="472" t="s">
        <v>710</v>
      </c>
      <c r="Y3" s="472"/>
      <c r="Z3" s="322"/>
      <c r="AA3" s="322"/>
      <c r="AB3" s="322"/>
      <c r="AC3" s="357"/>
    </row>
    <row r="4" spans="1:30" ht="18" x14ac:dyDescent="0.2">
      <c r="A4" s="17"/>
      <c r="B4" s="309"/>
      <c r="C4" s="320" t="s">
        <v>711</v>
      </c>
      <c r="D4" s="310"/>
      <c r="E4" s="310"/>
      <c r="F4" s="320" t="s">
        <v>712</v>
      </c>
      <c r="G4" s="310"/>
      <c r="H4" s="310"/>
      <c r="I4" s="320" t="s">
        <v>713</v>
      </c>
      <c r="J4" s="310"/>
      <c r="K4" s="310"/>
      <c r="L4" s="320" t="s">
        <v>714</v>
      </c>
      <c r="M4" s="310"/>
      <c r="N4" s="310"/>
      <c r="O4" s="320" t="s">
        <v>715</v>
      </c>
      <c r="P4" s="310"/>
      <c r="Q4" s="310"/>
      <c r="R4" s="320" t="s">
        <v>716</v>
      </c>
      <c r="S4" s="310"/>
      <c r="T4" s="310"/>
      <c r="U4" s="311"/>
      <c r="V4" s="323"/>
      <c r="W4" s="472"/>
      <c r="X4" s="472" t="s">
        <v>717</v>
      </c>
      <c r="Y4" s="472" t="s">
        <v>162</v>
      </c>
      <c r="Z4" s="472" t="s">
        <v>717</v>
      </c>
      <c r="AA4" s="472" t="s">
        <v>162</v>
      </c>
      <c r="AB4" s="322"/>
      <c r="AC4" s="357"/>
    </row>
    <row r="5" spans="1:30" ht="35.25" customHeight="1" x14ac:dyDescent="0.2">
      <c r="A5" s="17"/>
      <c r="B5" s="312"/>
      <c r="C5" s="1408" t="s">
        <v>718</v>
      </c>
      <c r="D5" s="1409"/>
      <c r="E5" s="313"/>
      <c r="F5" s="1408" t="s">
        <v>719</v>
      </c>
      <c r="G5" s="1409"/>
      <c r="H5" s="313"/>
      <c r="I5" s="1408" t="s">
        <v>720</v>
      </c>
      <c r="J5" s="1409"/>
      <c r="K5" s="313"/>
      <c r="L5" s="1408" t="s">
        <v>721</v>
      </c>
      <c r="M5" s="1409"/>
      <c r="N5" s="313"/>
      <c r="O5" s="1408" t="s">
        <v>722</v>
      </c>
      <c r="P5" s="1409"/>
      <c r="Q5" s="313"/>
      <c r="R5" s="1408" t="s">
        <v>723</v>
      </c>
      <c r="S5" s="1409"/>
      <c r="T5" s="310"/>
      <c r="U5" s="311"/>
      <c r="V5" s="323"/>
      <c r="W5" s="322"/>
      <c r="X5" s="322" t="str">
        <f>New_Technology</f>
        <v>Waste Heat Recovery (Heat Pump)</v>
      </c>
      <c r="Y5" s="322" t="str">
        <f>Commercial_Benchmark</f>
        <v>Evaporative Condenser</v>
      </c>
      <c r="Z5" s="322" t="s">
        <v>724</v>
      </c>
      <c r="AA5" s="322" t="s">
        <v>724</v>
      </c>
      <c r="AB5" s="322"/>
      <c r="AC5" s="357"/>
    </row>
    <row r="6" spans="1:30" ht="39.75" customHeight="1" x14ac:dyDescent="0.2">
      <c r="A6" s="17"/>
      <c r="B6" s="312"/>
      <c r="C6" s="319" t="s">
        <v>725</v>
      </c>
      <c r="D6" s="319" t="s">
        <v>726</v>
      </c>
      <c r="E6" s="310"/>
      <c r="F6" s="319" t="s">
        <v>725</v>
      </c>
      <c r="G6" s="319" t="s">
        <v>726</v>
      </c>
      <c r="H6" s="310"/>
      <c r="I6" s="319" t="s">
        <v>725</v>
      </c>
      <c r="J6" s="319" t="s">
        <v>726</v>
      </c>
      <c r="K6" s="310"/>
      <c r="L6" s="319" t="s">
        <v>727</v>
      </c>
      <c r="M6" s="319" t="s">
        <v>728</v>
      </c>
      <c r="N6" s="310"/>
      <c r="O6" s="319" t="s">
        <v>727</v>
      </c>
      <c r="P6" s="319" t="s">
        <v>728</v>
      </c>
      <c r="Q6" s="310"/>
      <c r="R6" s="319" t="s">
        <v>727</v>
      </c>
      <c r="S6" s="319" t="s">
        <v>728</v>
      </c>
      <c r="T6" s="310"/>
      <c r="U6" s="311"/>
      <c r="V6" s="323"/>
      <c r="W6" s="322" t="s">
        <v>729</v>
      </c>
      <c r="X6" s="473">
        <f>RefCapEx_NewTech_withMaintenance</f>
        <v>103.56927064050353</v>
      </c>
      <c r="Y6" s="473">
        <f>RefCapEx_Benchmark_withMaintenance</f>
        <v>177.86301369863014</v>
      </c>
      <c r="Z6" s="322" t="str">
        <f t="shared" ref="Z6:AA10" si="0">IF(X$11&gt;0,IF((X6/X$11)&gt;0.02,$W6&amp;": "&amp;TEXT(X6,"$#,##0"),""),"")</f>
        <v>CapEx Costs: $104</v>
      </c>
      <c r="AA6" s="322" t="str">
        <f t="shared" si="0"/>
        <v>CapEx Costs: $178</v>
      </c>
      <c r="AB6" s="322"/>
      <c r="AC6" s="357"/>
    </row>
    <row r="7" spans="1:30" ht="36" customHeight="1" x14ac:dyDescent="0.2">
      <c r="A7" s="17"/>
      <c r="B7" s="312"/>
      <c r="C7" s="360" t="str">
        <f>"Reference Volume:"&amp;CHAR(10)&amp;TEXT(Ref_Volume,"#,##0")&amp;" "&amp;Ref_Volume_Unit</f>
        <v>Reference Volume:
2 Million Gallons</v>
      </c>
      <c r="D7" s="360" t="str">
        <f>"Equivalent Reference Volume:"&amp;CHAR(10)&amp;TEXT(Ref_Volume_Benchmark,"#,##0")&amp;" "&amp;Ref_Volume_Unit</f>
        <v>Equivalent Reference Volume:
2 Million Gallons</v>
      </c>
      <c r="E7" s="310"/>
      <c r="F7" s="360" t="str">
        <f>"Reference Volume:"&amp;CHAR(10)&amp;TEXT(Ref_Volume,"#,##0")&amp;" "&amp;Ref_Volume_Unit</f>
        <v>Reference Volume:
2 Million Gallons</v>
      </c>
      <c r="G7" s="360" t="str">
        <f>"Equivalent Reference Volume:"&amp;CHAR(10)&amp;TEXT(Ref_Volume_Benchmark,"#,##0")&amp;" "&amp;Ref_Volume_Unit</f>
        <v>Equivalent Reference Volume:
2 Million Gallons</v>
      </c>
      <c r="H7" s="361"/>
      <c r="I7" s="360" t="str">
        <f>"Reference Volume:"&amp;CHAR(10)&amp;TEXT(Ref_Volume,"#,##0")&amp;" "&amp;Ref_Volume_Unit</f>
        <v>Reference Volume:
2 Million Gallons</v>
      </c>
      <c r="J7" s="360" t="str">
        <f>"Equivalent Reference Volume:"&amp;CHAR(10)&amp;TEXT(Ref_Volume_Benchmark,"#,##0")&amp;" "&amp;Ref_Volume_Unit</f>
        <v>Equivalent Reference Volume:
2 Million Gallons</v>
      </c>
      <c r="K7" s="361"/>
      <c r="L7" s="360" t="str">
        <f>"Hypothetical Production:"&amp;CHAR(10)&amp;TEXT(PotentialProduction,"#,##0")&amp;" "&amp;Ref_Volume_Unit</f>
        <v>Hypothetical Production:
7,300,000 Million Gallons</v>
      </c>
      <c r="M7" s="360" t="str">
        <f>"Replaced Production:"&amp;CHAR(10)&amp;TEXT(ReplaceableProduction,"#,##0")&amp;" "&amp;Ref_Volume_Unit</f>
        <v>Replaced Production:
7,300,000 Million Gallons</v>
      </c>
      <c r="N7" s="361"/>
      <c r="O7" s="360" t="str">
        <f>"Hypothetical Production:"&amp;CHAR(10)&amp;TEXT(PotentialProduction,"#,##0")&amp;" "&amp;Ref_Volume_Unit</f>
        <v>Hypothetical Production:
7,300,000 Million Gallons</v>
      </c>
      <c r="P7" s="360" t="str">
        <f>"Replaced Production:"&amp;CHAR(10)&amp;TEXT(ReplaceableProduction,"#,##0")&amp;" "&amp;Ref_Volume_Unit</f>
        <v>Replaced Production:
7,300,000 Million Gallons</v>
      </c>
      <c r="Q7" s="361"/>
      <c r="R7" s="360" t="str">
        <f>"Hypothetical Production:"&amp;CHAR(10)&amp;TEXT(PotentialProduction,"#,##0")&amp;" "&amp;Ref_Volume_Unit</f>
        <v>Hypothetical Production:
7,300,000 Million Gallons</v>
      </c>
      <c r="S7" s="360" t="str">
        <f>"Replaced Production:"&amp;CHAR(10)&amp;TEXT(ReplaceableProduction,"#,##0")&amp;" "&amp;Ref_Volume_Unit</f>
        <v>Replaced Production:
7,300,000 Million Gallons</v>
      </c>
      <c r="T7" s="310"/>
      <c r="U7" s="311"/>
      <c r="V7" s="323"/>
      <c r="W7" s="322" t="s">
        <v>544</v>
      </c>
      <c r="X7" s="473">
        <f>RefMatCost_NewTech</f>
        <v>14.04</v>
      </c>
      <c r="Y7" s="473">
        <f>RefMatCost_Benchmark</f>
        <v>97.446842783505161</v>
      </c>
      <c r="Z7" s="322" t="str">
        <f t="shared" si="0"/>
        <v>Raw Materials Costs: $14</v>
      </c>
      <c r="AA7" s="322" t="str">
        <f t="shared" si="0"/>
        <v>Raw Materials Costs: $97</v>
      </c>
      <c r="AB7" s="322"/>
      <c r="AC7" s="357"/>
    </row>
    <row r="8" spans="1:30" s="50" customFormat="1" x14ac:dyDescent="0.2">
      <c r="A8" s="21"/>
      <c r="B8" s="362"/>
      <c r="C8" s="363">
        <f>X11</f>
        <v>134.88466443168687</v>
      </c>
      <c r="D8" s="363">
        <f>Y11</f>
        <v>327.79945959288443</v>
      </c>
      <c r="E8" s="361"/>
      <c r="F8" s="480">
        <f>X28</f>
        <v>0.28012614754795506</v>
      </c>
      <c r="G8" s="480">
        <f>Y28</f>
        <v>1.5344133773988331</v>
      </c>
      <c r="H8" s="361"/>
      <c r="I8" s="415">
        <f>X43</f>
        <v>81.467955242460818</v>
      </c>
      <c r="J8" s="415">
        <f>Y43</f>
        <v>94.334666280940297</v>
      </c>
      <c r="K8" s="361"/>
      <c r="L8" s="364" t="str">
        <f>TEXT(X21/1000000,"$#,##0")&amp;" million"</f>
        <v>$461 million</v>
      </c>
      <c r="M8" s="364" t="str">
        <f>TEXT(Y21/1000000,"$#,##0")&amp;" million"</f>
        <v>$1,109 million</v>
      </c>
      <c r="N8" s="361"/>
      <c r="O8" s="514">
        <f>X36</f>
        <v>87.43344615753476</v>
      </c>
      <c r="P8" s="514">
        <f>Y36</f>
        <v>133.06339710192495</v>
      </c>
      <c r="Q8" s="361"/>
      <c r="R8" s="503">
        <f>X50</f>
        <v>-8.5291877591687033</v>
      </c>
      <c r="S8" s="503">
        <f>Y50</f>
        <v>2.5924342662993451</v>
      </c>
      <c r="T8" s="361"/>
      <c r="U8" s="365"/>
      <c r="V8" s="366"/>
      <c r="W8" s="322" t="s">
        <v>553</v>
      </c>
      <c r="X8" s="473">
        <f>RefEnergyCost_NewTech</f>
        <v>0.17844963944465791</v>
      </c>
      <c r="Y8" s="473">
        <f>RefEnergyCost_Benchmark</f>
        <v>7.8887074310863925</v>
      </c>
      <c r="Z8" s="322" t="str">
        <f t="shared" si="0"/>
        <v/>
      </c>
      <c r="AA8" s="322" t="str">
        <f t="shared" si="0"/>
        <v>Energy Costs: $8</v>
      </c>
      <c r="AB8" s="322"/>
      <c r="AC8" s="367"/>
      <c r="AD8" s="368"/>
    </row>
    <row r="9" spans="1:30" x14ac:dyDescent="0.2">
      <c r="A9" s="45"/>
      <c r="B9" s="312"/>
      <c r="C9" s="277"/>
      <c r="D9" s="277"/>
      <c r="E9" s="315"/>
      <c r="F9" s="277"/>
      <c r="G9" s="277"/>
      <c r="H9" s="315"/>
      <c r="I9" s="277"/>
      <c r="J9" s="277"/>
      <c r="K9" s="315"/>
      <c r="L9" s="277"/>
      <c r="M9" s="277"/>
      <c r="N9" s="315"/>
      <c r="O9" s="277"/>
      <c r="P9" s="277"/>
      <c r="Q9" s="315"/>
      <c r="R9" s="277"/>
      <c r="S9" s="277"/>
      <c r="T9" s="315"/>
      <c r="U9" s="314"/>
      <c r="V9" s="323"/>
      <c r="W9" s="322" t="s">
        <v>730</v>
      </c>
      <c r="X9" s="473">
        <f>RefLaborCost_NewTech</f>
        <v>3.3983140147523709</v>
      </c>
      <c r="Y9" s="473">
        <f>RefLaborCost_Benchmark</f>
        <v>11.724183350895679</v>
      </c>
      <c r="Z9" s="322" t="str">
        <f t="shared" si="0"/>
        <v>Labor Costs: $3</v>
      </c>
      <c r="AA9" s="322" t="str">
        <f t="shared" si="0"/>
        <v>Labor Costs: $12</v>
      </c>
      <c r="AB9" s="322"/>
      <c r="AC9" s="357"/>
    </row>
    <row r="10" spans="1:30" x14ac:dyDescent="0.2">
      <c r="A10" s="45"/>
      <c r="B10" s="312"/>
      <c r="C10" s="277"/>
      <c r="D10" s="277"/>
      <c r="E10" s="315"/>
      <c r="F10" s="277"/>
      <c r="G10" s="277"/>
      <c r="H10" s="315"/>
      <c r="I10" s="277"/>
      <c r="J10" s="277"/>
      <c r="K10" s="315"/>
      <c r="L10" s="277"/>
      <c r="M10" s="277"/>
      <c r="N10" s="315"/>
      <c r="O10" s="277"/>
      <c r="P10" s="277"/>
      <c r="Q10" s="315"/>
      <c r="R10" s="277"/>
      <c r="S10" s="277"/>
      <c r="T10" s="315"/>
      <c r="U10" s="314"/>
      <c r="V10" s="323"/>
      <c r="W10" s="322" t="s">
        <v>731</v>
      </c>
      <c r="X10" s="473">
        <f>RefOtherRecurring_NewTech</f>
        <v>13.698630136986301</v>
      </c>
      <c r="Y10" s="473">
        <f>RefOtherRecurring_Benchmark</f>
        <v>32.876712328767127</v>
      </c>
      <c r="Z10" s="322" t="str">
        <f t="shared" si="0"/>
        <v>Other Costs: $14</v>
      </c>
      <c r="AA10" s="322" t="str">
        <f t="shared" si="0"/>
        <v>Other Costs: $33</v>
      </c>
      <c r="AB10" s="322"/>
      <c r="AC10" s="357"/>
    </row>
    <row r="11" spans="1:30" x14ac:dyDescent="0.2">
      <c r="A11" s="45"/>
      <c r="B11" s="312"/>
      <c r="C11" s="277"/>
      <c r="D11" s="277"/>
      <c r="E11" s="315"/>
      <c r="F11" s="277"/>
      <c r="G11" s="277"/>
      <c r="H11" s="315"/>
      <c r="I11" s="277"/>
      <c r="J11" s="277"/>
      <c r="K11" s="315"/>
      <c r="L11" s="277"/>
      <c r="M11" s="277"/>
      <c r="N11" s="315"/>
      <c r="O11" s="277"/>
      <c r="P11" s="277"/>
      <c r="Q11" s="315"/>
      <c r="R11" s="277"/>
      <c r="S11" s="277"/>
      <c r="T11" s="315"/>
      <c r="U11" s="314"/>
      <c r="V11" s="323"/>
      <c r="W11" s="322" t="s">
        <v>371</v>
      </c>
      <c r="X11" s="473">
        <f>SUM(X6:X10)</f>
        <v>134.88466443168687</v>
      </c>
      <c r="Y11" s="473">
        <f>SUM(Y6:Y10)</f>
        <v>327.79945959288443</v>
      </c>
      <c r="Z11" s="322"/>
      <c r="AA11" s="322"/>
      <c r="AB11" s="322"/>
      <c r="AC11" s="357"/>
    </row>
    <row r="12" spans="1:30" x14ac:dyDescent="0.2">
      <c r="A12" s="45"/>
      <c r="B12" s="312"/>
      <c r="C12" s="277"/>
      <c r="D12" s="277"/>
      <c r="E12" s="315"/>
      <c r="F12" s="277"/>
      <c r="G12" s="277"/>
      <c r="H12" s="315"/>
      <c r="I12" s="277"/>
      <c r="J12" s="277"/>
      <c r="K12" s="315"/>
      <c r="L12" s="277"/>
      <c r="M12" s="277"/>
      <c r="N12" s="315"/>
      <c r="O12" s="277"/>
      <c r="P12" s="277"/>
      <c r="Q12" s="315"/>
      <c r="R12" s="277"/>
      <c r="S12" s="277"/>
      <c r="T12" s="315"/>
      <c r="U12" s="314"/>
      <c r="V12" s="323"/>
      <c r="W12" s="322"/>
      <c r="X12" s="322"/>
      <c r="Y12" s="322"/>
      <c r="Z12" s="322"/>
      <c r="AA12" s="322"/>
      <c r="AB12" s="322"/>
      <c r="AC12" s="357"/>
    </row>
    <row r="13" spans="1:30" ht="15" customHeight="1" x14ac:dyDescent="0.2">
      <c r="A13" s="45"/>
      <c r="B13" s="312"/>
      <c r="C13" s="277"/>
      <c r="D13" s="277"/>
      <c r="E13" s="315"/>
      <c r="F13" s="277"/>
      <c r="G13" s="277"/>
      <c r="H13" s="315"/>
      <c r="I13" s="277"/>
      <c r="J13" s="277"/>
      <c r="K13" s="315"/>
      <c r="L13" s="277"/>
      <c r="M13" s="277"/>
      <c r="N13" s="315"/>
      <c r="O13" s="277"/>
      <c r="P13" s="277"/>
      <c r="Q13" s="315"/>
      <c r="R13" s="277"/>
      <c r="S13" s="277"/>
      <c r="T13" s="315"/>
      <c r="U13" s="314"/>
      <c r="V13" s="323"/>
      <c r="W13" s="322"/>
      <c r="X13" s="472" t="s">
        <v>732</v>
      </c>
      <c r="Y13" s="472"/>
      <c r="Z13" s="322"/>
      <c r="AA13" s="322"/>
      <c r="AB13" s="322"/>
      <c r="AC13" s="357"/>
    </row>
    <row r="14" spans="1:30" ht="15" customHeight="1" x14ac:dyDescent="0.2">
      <c r="A14" s="45"/>
      <c r="B14" s="312"/>
      <c r="C14" s="277"/>
      <c r="D14" s="277"/>
      <c r="E14" s="315"/>
      <c r="F14" s="277"/>
      <c r="G14" s="277"/>
      <c r="H14" s="315"/>
      <c r="I14" s="277"/>
      <c r="J14" s="277"/>
      <c r="K14" s="315"/>
      <c r="L14" s="277"/>
      <c r="M14" s="277"/>
      <c r="N14" s="315"/>
      <c r="O14" s="277"/>
      <c r="P14" s="277"/>
      <c r="Q14" s="315"/>
      <c r="R14" s="277"/>
      <c r="S14" s="277"/>
      <c r="T14" s="315"/>
      <c r="U14" s="314"/>
      <c r="V14" s="323"/>
      <c r="W14" s="472"/>
      <c r="X14" s="472" t="s">
        <v>717</v>
      </c>
      <c r="Y14" s="472" t="s">
        <v>162</v>
      </c>
      <c r="Z14" s="472" t="s">
        <v>717</v>
      </c>
      <c r="AA14" s="472" t="s">
        <v>162</v>
      </c>
      <c r="AB14" s="322"/>
      <c r="AC14" s="357"/>
    </row>
    <row r="15" spans="1:30" ht="15" customHeight="1" x14ac:dyDescent="0.2">
      <c r="A15" s="45"/>
      <c r="B15" s="312"/>
      <c r="C15" s="277"/>
      <c r="D15" s="277"/>
      <c r="E15" s="315"/>
      <c r="F15" s="277"/>
      <c r="G15" s="277"/>
      <c r="H15" s="315"/>
      <c r="I15" s="277"/>
      <c r="J15" s="277"/>
      <c r="K15" s="315"/>
      <c r="L15" s="277"/>
      <c r="M15" s="277"/>
      <c r="N15" s="315"/>
      <c r="O15" s="277"/>
      <c r="P15" s="277"/>
      <c r="Q15" s="315"/>
      <c r="R15" s="277"/>
      <c r="S15" s="277"/>
      <c r="T15" s="315"/>
      <c r="U15" s="314"/>
      <c r="V15" s="323"/>
      <c r="W15" s="322"/>
      <c r="X15" s="322" t="str">
        <f>New_Technology</f>
        <v>Waste Heat Recovery (Heat Pump)</v>
      </c>
      <c r="Y15" s="322" t="str">
        <f>Commercial_Benchmark</f>
        <v>Evaporative Condenser</v>
      </c>
      <c r="Z15" s="322" t="s">
        <v>724</v>
      </c>
      <c r="AA15" s="322" t="s">
        <v>724</v>
      </c>
      <c r="AB15" s="322"/>
      <c r="AC15" s="357"/>
    </row>
    <row r="16" spans="1:30" ht="15" customHeight="1" x14ac:dyDescent="0.2">
      <c r="A16" s="45"/>
      <c r="B16" s="312"/>
      <c r="C16" s="277"/>
      <c r="D16" s="277"/>
      <c r="E16" s="315"/>
      <c r="F16" s="277"/>
      <c r="G16" s="277"/>
      <c r="H16" s="315"/>
      <c r="I16" s="277"/>
      <c r="J16" s="277"/>
      <c r="K16" s="315"/>
      <c r="L16" s="277"/>
      <c r="M16" s="277"/>
      <c r="N16" s="315"/>
      <c r="O16" s="277"/>
      <c r="P16" s="277"/>
      <c r="Q16" s="315"/>
      <c r="R16" s="277"/>
      <c r="S16" s="277"/>
      <c r="T16" s="315"/>
      <c r="U16" s="314"/>
      <c r="V16" s="323"/>
      <c r="W16" s="322" t="s">
        <v>729</v>
      </c>
      <c r="X16" s="474">
        <f>'Summary Tables'!O41</f>
        <v>396929229.72972971</v>
      </c>
      <c r="Y16" s="474">
        <f>'Summary Tables'!P41</f>
        <v>681660000</v>
      </c>
      <c r="Z16" s="322" t="str">
        <f t="shared" ref="Z16:AA20" si="1">IF(X$21&gt;0,IF((X16/X$21)&gt;0.02,$W16&amp;": "&amp;TEXT(X16,"$#,##0"),""),"")</f>
        <v>CapEx Costs: $396,929,230</v>
      </c>
      <c r="AA16" s="322" t="str">
        <f t="shared" si="1"/>
        <v>CapEx Costs: $681,660,000</v>
      </c>
      <c r="AB16" s="322"/>
      <c r="AC16" s="357"/>
    </row>
    <row r="17" spans="1:29" ht="15" customHeight="1" x14ac:dyDescent="0.2">
      <c r="A17" s="45"/>
      <c r="B17" s="312"/>
      <c r="C17" s="277"/>
      <c r="D17" s="277"/>
      <c r="E17" s="315"/>
      <c r="F17" s="277"/>
      <c r="G17" s="277"/>
      <c r="H17" s="315"/>
      <c r="I17" s="277"/>
      <c r="J17" s="277"/>
      <c r="K17" s="315"/>
      <c r="L17" s="277"/>
      <c r="M17" s="277"/>
      <c r="N17" s="315"/>
      <c r="O17" s="277"/>
      <c r="P17" s="277"/>
      <c r="Q17" s="315"/>
      <c r="R17" s="277"/>
      <c r="S17" s="277"/>
      <c r="T17" s="315"/>
      <c r="U17" s="314"/>
      <c r="V17" s="323"/>
      <c r="W17" s="322" t="s">
        <v>544</v>
      </c>
      <c r="X17" s="474">
        <f>'Summary Tables'!O37</f>
        <v>51246000</v>
      </c>
      <c r="Y17" s="474">
        <f>'Summary Tables'!P37</f>
        <v>355680976.15979385</v>
      </c>
      <c r="Z17" s="322" t="str">
        <f t="shared" si="1"/>
        <v>Raw Materials Costs: $51,246,000</v>
      </c>
      <c r="AA17" s="322" t="str">
        <f t="shared" si="1"/>
        <v>Raw Materials Costs: $355,680,976</v>
      </c>
      <c r="AB17" s="322"/>
      <c r="AC17" s="357"/>
    </row>
    <row r="18" spans="1:29" ht="15" customHeight="1" x14ac:dyDescent="0.2">
      <c r="A18" s="45"/>
      <c r="B18" s="312"/>
      <c r="C18" s="277"/>
      <c r="D18" s="277"/>
      <c r="E18" s="315"/>
      <c r="F18" s="277"/>
      <c r="G18" s="277"/>
      <c r="H18" s="315"/>
      <c r="I18" s="277"/>
      <c r="J18" s="277"/>
      <c r="K18" s="315"/>
      <c r="L18" s="277"/>
      <c r="M18" s="277"/>
      <c r="N18" s="315"/>
      <c r="O18" s="277"/>
      <c r="P18" s="277"/>
      <c r="Q18" s="315"/>
      <c r="R18" s="277"/>
      <c r="S18" s="277"/>
      <c r="T18" s="315"/>
      <c r="U18" s="314"/>
      <c r="V18" s="323"/>
      <c r="W18" s="322" t="s">
        <v>553</v>
      </c>
      <c r="X18" s="474">
        <f>'Summary Tables'!O38</f>
        <v>651341.18397300143</v>
      </c>
      <c r="Y18" s="474">
        <f>'Summary Tables'!P38</f>
        <v>28793782.123465333</v>
      </c>
      <c r="Z18" s="322" t="str">
        <f t="shared" si="1"/>
        <v/>
      </c>
      <c r="AA18" s="322" t="str">
        <f t="shared" si="1"/>
        <v>Energy Costs: $28,793,782</v>
      </c>
      <c r="AB18" s="322"/>
      <c r="AC18" s="357"/>
    </row>
    <row r="19" spans="1:29" ht="15" customHeight="1" x14ac:dyDescent="0.2">
      <c r="A19" s="45"/>
      <c r="B19" s="312"/>
      <c r="C19" s="277"/>
      <c r="D19" s="277"/>
      <c r="E19" s="315"/>
      <c r="F19" s="277"/>
      <c r="G19" s="277"/>
      <c r="H19" s="315"/>
      <c r="I19" s="277"/>
      <c r="J19" s="277"/>
      <c r="K19" s="315"/>
      <c r="L19" s="277"/>
      <c r="M19" s="277"/>
      <c r="N19" s="315"/>
      <c r="O19" s="277"/>
      <c r="P19" s="277"/>
      <c r="Q19" s="315"/>
      <c r="R19" s="277"/>
      <c r="S19" s="277"/>
      <c r="T19" s="315"/>
      <c r="U19" s="314"/>
      <c r="V19" s="323"/>
      <c r="W19" s="322" t="s">
        <v>730</v>
      </c>
      <c r="X19" s="474">
        <f>'Summary Tables'!O39</f>
        <v>12403846.153846154</v>
      </c>
      <c r="Y19" s="474">
        <f>'Summary Tables'!P39</f>
        <v>42793269.230769224</v>
      </c>
      <c r="Z19" s="322" t="str">
        <f t="shared" si="1"/>
        <v>Labor Costs: $12,403,846</v>
      </c>
      <c r="AA19" s="322" t="str">
        <f t="shared" si="1"/>
        <v>Labor Costs: $42,793,269</v>
      </c>
      <c r="AB19" s="322"/>
      <c r="AC19" s="357"/>
    </row>
    <row r="20" spans="1:29" ht="15" customHeight="1" x14ac:dyDescent="0.2">
      <c r="A20" s="45"/>
      <c r="B20" s="312"/>
      <c r="C20" s="277"/>
      <c r="D20" s="277"/>
      <c r="E20" s="315"/>
      <c r="F20" s="277"/>
      <c r="G20" s="277"/>
      <c r="H20" s="315"/>
      <c r="I20" s="277"/>
      <c r="J20" s="277"/>
      <c r="K20" s="315"/>
      <c r="L20" s="277"/>
      <c r="M20" s="277"/>
      <c r="N20" s="315"/>
      <c r="O20" s="277"/>
      <c r="P20" s="277"/>
      <c r="Q20" s="315"/>
      <c r="R20" s="277"/>
      <c r="S20" s="277"/>
      <c r="T20" s="315"/>
      <c r="U20" s="314"/>
      <c r="V20" s="323"/>
      <c r="W20" s="322" t="s">
        <v>731</v>
      </c>
      <c r="X20" s="474">
        <f>'Summary Tables'!O40</f>
        <v>50000000</v>
      </c>
      <c r="Y20" s="474">
        <f>'Summary Tables'!P40</f>
        <v>120000000.00000001</v>
      </c>
      <c r="Z20" s="322" t="str">
        <f t="shared" si="1"/>
        <v>Other Costs: $50,000,000</v>
      </c>
      <c r="AA20" s="322" t="str">
        <f t="shared" si="1"/>
        <v>Other Costs: $120,000,000</v>
      </c>
      <c r="AB20" s="322"/>
      <c r="AC20" s="357"/>
    </row>
    <row r="21" spans="1:29" ht="15" customHeight="1" x14ac:dyDescent="0.2">
      <c r="A21" s="45"/>
      <c r="B21" s="312"/>
      <c r="C21" s="277"/>
      <c r="D21" s="277"/>
      <c r="E21" s="315"/>
      <c r="F21" s="277"/>
      <c r="G21" s="277"/>
      <c r="H21" s="315"/>
      <c r="I21" s="277"/>
      <c r="J21" s="277"/>
      <c r="K21" s="315"/>
      <c r="L21" s="277"/>
      <c r="M21" s="277"/>
      <c r="N21" s="315"/>
      <c r="O21" s="277"/>
      <c r="P21" s="277"/>
      <c r="Q21" s="315"/>
      <c r="R21" s="277"/>
      <c r="S21" s="277"/>
      <c r="T21" s="315"/>
      <c r="U21" s="314"/>
      <c r="V21" s="323"/>
      <c r="W21" s="322" t="s">
        <v>371</v>
      </c>
      <c r="X21" s="474">
        <f>SUM(X16:X19)</f>
        <v>461230417.06754887</v>
      </c>
      <c r="Y21" s="474">
        <f>SUM(Y16:Y19)</f>
        <v>1108928027.5140283</v>
      </c>
      <c r="Z21" s="322"/>
      <c r="AA21" s="322"/>
      <c r="AB21" s="322"/>
      <c r="AC21" s="357"/>
    </row>
    <row r="22" spans="1:29" ht="15" customHeight="1" x14ac:dyDescent="0.2">
      <c r="A22" s="45"/>
      <c r="B22" s="312"/>
      <c r="C22" s="277"/>
      <c r="D22" s="277"/>
      <c r="E22" s="315"/>
      <c r="F22" s="277"/>
      <c r="G22" s="277"/>
      <c r="H22" s="315"/>
      <c r="I22" s="277"/>
      <c r="J22" s="277"/>
      <c r="K22" s="315"/>
      <c r="L22" s="277"/>
      <c r="M22" s="277"/>
      <c r="N22" s="315"/>
      <c r="O22" s="277"/>
      <c r="P22" s="277"/>
      <c r="Q22" s="315"/>
      <c r="R22" s="277"/>
      <c r="S22" s="277"/>
      <c r="T22" s="315"/>
      <c r="U22" s="314"/>
      <c r="V22" s="323"/>
      <c r="W22" s="322"/>
      <c r="X22" s="322"/>
      <c r="Y22" s="322"/>
      <c r="Z22" s="322"/>
      <c r="AA22" s="322"/>
      <c r="AB22" s="322"/>
      <c r="AC22" s="357"/>
    </row>
    <row r="23" spans="1:29" ht="15" customHeight="1" x14ac:dyDescent="0.2">
      <c r="A23" s="45"/>
      <c r="B23" s="312"/>
      <c r="C23" s="277"/>
      <c r="D23" s="277"/>
      <c r="E23" s="315"/>
      <c r="F23" s="277"/>
      <c r="G23" s="277"/>
      <c r="H23" s="315"/>
      <c r="I23" s="277"/>
      <c r="J23" s="277"/>
      <c r="K23" s="315"/>
      <c r="L23" s="277"/>
      <c r="M23" s="277"/>
      <c r="N23" s="315"/>
      <c r="O23" s="277"/>
      <c r="P23" s="277"/>
      <c r="Q23" s="315"/>
      <c r="R23" s="277"/>
      <c r="S23" s="277"/>
      <c r="T23" s="315"/>
      <c r="U23" s="314"/>
      <c r="V23" s="323"/>
      <c r="W23" s="322"/>
      <c r="X23" s="472" t="s">
        <v>733</v>
      </c>
      <c r="Y23" s="472"/>
      <c r="Z23" s="322"/>
      <c r="AA23" s="322"/>
      <c r="AB23" s="322"/>
      <c r="AC23" s="357"/>
    </row>
    <row r="24" spans="1:29" ht="15" customHeight="1" x14ac:dyDescent="0.2">
      <c r="A24" s="45"/>
      <c r="B24" s="312"/>
      <c r="C24" s="277"/>
      <c r="D24" s="277"/>
      <c r="E24" s="315"/>
      <c r="F24" s="277"/>
      <c r="G24" s="277"/>
      <c r="H24" s="315"/>
      <c r="I24" s="277"/>
      <c r="J24" s="277"/>
      <c r="K24" s="315"/>
      <c r="L24" s="277"/>
      <c r="M24" s="277"/>
      <c r="N24" s="315"/>
      <c r="O24" s="277"/>
      <c r="P24" s="277"/>
      <c r="Q24" s="315"/>
      <c r="R24" s="277"/>
      <c r="S24" s="277"/>
      <c r="T24" s="315"/>
      <c r="U24" s="314"/>
      <c r="V24" s="323"/>
      <c r="W24" s="472"/>
      <c r="X24" s="472" t="s">
        <v>717</v>
      </c>
      <c r="Y24" s="472" t="s">
        <v>162</v>
      </c>
      <c r="Z24" s="472" t="s">
        <v>717</v>
      </c>
      <c r="AA24" s="472" t="s">
        <v>162</v>
      </c>
      <c r="AB24" s="322"/>
      <c r="AC24" s="357"/>
    </row>
    <row r="25" spans="1:29" ht="15" customHeight="1" x14ac:dyDescent="0.2">
      <c r="A25" s="45"/>
      <c r="B25" s="312"/>
      <c r="C25" s="45"/>
      <c r="D25" s="45"/>
      <c r="E25" s="315"/>
      <c r="F25" s="45"/>
      <c r="G25" s="45"/>
      <c r="H25" s="315"/>
      <c r="I25" s="45"/>
      <c r="J25" s="45"/>
      <c r="K25" s="315"/>
      <c r="L25" s="45"/>
      <c r="M25" s="45"/>
      <c r="N25" s="315"/>
      <c r="O25" s="45"/>
      <c r="P25" s="45"/>
      <c r="Q25" s="315"/>
      <c r="R25" s="45"/>
      <c r="S25" s="45"/>
      <c r="T25" s="315"/>
      <c r="U25" s="314"/>
      <c r="V25" s="323"/>
      <c r="W25" s="322"/>
      <c r="X25" s="322" t="str">
        <f>New_Technology</f>
        <v>Waste Heat Recovery (Heat Pump)</v>
      </c>
      <c r="Y25" s="322" t="str">
        <f>Commercial_Benchmark</f>
        <v>Evaporative Condenser</v>
      </c>
      <c r="Z25" s="322" t="s">
        <v>724</v>
      </c>
      <c r="AA25" s="322" t="s">
        <v>724</v>
      </c>
      <c r="AB25" s="322"/>
      <c r="AC25" s="357"/>
    </row>
    <row r="26" spans="1:29" ht="15" customHeight="1" x14ac:dyDescent="0.2">
      <c r="A26" s="45"/>
      <c r="B26" s="312"/>
      <c r="C26" s="45"/>
      <c r="D26" s="45"/>
      <c r="E26" s="315"/>
      <c r="F26" s="45"/>
      <c r="G26" s="45"/>
      <c r="H26" s="315"/>
      <c r="I26" s="45"/>
      <c r="J26" s="45"/>
      <c r="K26" s="315"/>
      <c r="L26" s="45"/>
      <c r="M26" s="45"/>
      <c r="N26" s="315"/>
      <c r="O26" s="45"/>
      <c r="P26" s="45"/>
      <c r="Q26" s="315"/>
      <c r="R26" s="45"/>
      <c r="S26" s="45"/>
      <c r="T26" s="315"/>
      <c r="U26" s="314"/>
      <c r="V26" s="323"/>
      <c r="W26" s="475" t="s">
        <v>734</v>
      </c>
      <c r="X26" s="476">
        <f>'Summary Tables'!D58</f>
        <v>0.2530394212975059</v>
      </c>
      <c r="Y26" s="476">
        <f>'Summary Tables'!F58</f>
        <v>0.45966349730188694</v>
      </c>
      <c r="Z26" s="322" t="str">
        <f>IF(X$28&gt;0,IF((X26/X$28)&gt;0.02,$W26&amp;": "&amp;CHAR(10)&amp;TEXT(X26,"#,##0.0")&amp;" MMBtu",""),"")</f>
        <v>Raw Materials Energy: 
0.3 MMBtu</v>
      </c>
      <c r="AA26" s="322" t="str">
        <f>IF(Y$28&gt;0,IF((Y26/Y$28)&gt;0.02,$W26&amp;": "&amp;CHAR(10)&amp;TEXT(Y26,"#,##0.0")&amp;" MMBtu",""),"")</f>
        <v>Raw Materials Energy: 
0.5 MMBtu</v>
      </c>
      <c r="AB26" s="322"/>
      <c r="AC26" s="357"/>
    </row>
    <row r="27" spans="1:29" ht="15" customHeight="1" x14ac:dyDescent="0.2">
      <c r="A27" s="45"/>
      <c r="B27" s="312"/>
      <c r="C27" s="45"/>
      <c r="D27" s="45"/>
      <c r="E27" s="315"/>
      <c r="F27" s="45"/>
      <c r="G27" s="45"/>
      <c r="H27" s="315"/>
      <c r="I27" s="45"/>
      <c r="J27" s="45"/>
      <c r="K27" s="315"/>
      <c r="L27" s="45"/>
      <c r="M27" s="45"/>
      <c r="N27" s="315"/>
      <c r="O27" s="45"/>
      <c r="P27" s="45"/>
      <c r="Q27" s="315"/>
      <c r="R27" s="45"/>
      <c r="S27" s="45"/>
      <c r="T27" s="315"/>
      <c r="U27" s="314"/>
      <c r="V27" s="323"/>
      <c r="W27" s="475" t="s">
        <v>735</v>
      </c>
      <c r="X27" s="476">
        <f>'Summary Tables'!D59</f>
        <v>2.7086726250449149E-2</v>
      </c>
      <c r="Y27" s="476">
        <f>'Summary Tables'!F59</f>
        <v>1.0747498800969462</v>
      </c>
      <c r="Z27" s="322" t="str">
        <f>IF(X$28&gt;0,IF((X27/X$28)&gt;0.02,$W27&amp;": "&amp;CHAR(10)&amp;TEXT(X27,"#,##0.0")&amp;" MMBtu",""),"")</f>
        <v>Manufacturing Energy: 
0.0 MMBtu</v>
      </c>
      <c r="AA27" s="322" t="str">
        <f>IF(Y$28&gt;0,IF((Y27/Y$28)&gt;0.02,$W27&amp;": "&amp;CHAR(10)&amp;TEXT(Y27,"#,##0.0")&amp;" MMBtu",""),"")</f>
        <v>Manufacturing Energy: 
1.1 MMBtu</v>
      </c>
      <c r="AB27" s="322"/>
      <c r="AC27" s="357"/>
    </row>
    <row r="28" spans="1:29" ht="15" customHeight="1" x14ac:dyDescent="0.2">
      <c r="A28" s="45"/>
      <c r="B28" s="312"/>
      <c r="C28" s="45"/>
      <c r="D28" s="45"/>
      <c r="E28" s="315"/>
      <c r="F28" s="45"/>
      <c r="G28" s="45"/>
      <c r="H28" s="315"/>
      <c r="I28" s="45"/>
      <c r="J28" s="45"/>
      <c r="K28" s="315"/>
      <c r="L28" s="45"/>
      <c r="M28" s="45"/>
      <c r="N28" s="315"/>
      <c r="O28" s="45"/>
      <c r="P28" s="45"/>
      <c r="Q28" s="315"/>
      <c r="R28" s="45"/>
      <c r="S28" s="45"/>
      <c r="T28" s="315"/>
      <c r="U28" s="314"/>
      <c r="V28" s="323"/>
      <c r="W28" s="322" t="s">
        <v>371</v>
      </c>
      <c r="X28" s="476">
        <f>SUM(X26:X27)</f>
        <v>0.28012614754795506</v>
      </c>
      <c r="Y28" s="476">
        <f>SUM(Y26:Y27)</f>
        <v>1.5344133773988331</v>
      </c>
      <c r="Z28" s="322"/>
      <c r="AA28" s="322"/>
      <c r="AB28" s="322"/>
      <c r="AC28" s="357"/>
    </row>
    <row r="29" spans="1:29" ht="15" customHeight="1" x14ac:dyDescent="0.2">
      <c r="A29" s="45"/>
      <c r="B29" s="312"/>
      <c r="C29" s="45"/>
      <c r="D29" s="45"/>
      <c r="E29" s="315"/>
      <c r="F29" s="45"/>
      <c r="G29" s="45"/>
      <c r="H29" s="315"/>
      <c r="I29" s="45"/>
      <c r="J29" s="45"/>
      <c r="K29" s="315"/>
      <c r="L29" s="45"/>
      <c r="M29" s="45"/>
      <c r="N29" s="315"/>
      <c r="O29" s="45"/>
      <c r="P29" s="45"/>
      <c r="Q29" s="315"/>
      <c r="R29" s="45"/>
      <c r="S29" s="45"/>
      <c r="T29" s="315"/>
      <c r="U29" s="314"/>
      <c r="V29" s="323"/>
      <c r="W29" s="322"/>
      <c r="X29" s="473"/>
      <c r="Y29" s="477"/>
      <c r="Z29" s="322"/>
      <c r="AA29" s="322"/>
      <c r="AB29" s="322"/>
      <c r="AC29" s="357"/>
    </row>
    <row r="30" spans="1:29" ht="15" customHeight="1" x14ac:dyDescent="0.2">
      <c r="A30" s="45"/>
      <c r="B30" s="312"/>
      <c r="C30" s="45"/>
      <c r="D30" s="45"/>
      <c r="E30" s="315"/>
      <c r="F30" s="45"/>
      <c r="G30" s="45"/>
      <c r="H30" s="315"/>
      <c r="I30" s="45"/>
      <c r="J30" s="45"/>
      <c r="K30" s="315"/>
      <c r="L30" s="45"/>
      <c r="M30" s="45"/>
      <c r="N30" s="315"/>
      <c r="O30" s="45"/>
      <c r="P30" s="45"/>
      <c r="Q30" s="315"/>
      <c r="R30" s="45"/>
      <c r="S30" s="45"/>
      <c r="T30" s="315"/>
      <c r="U30" s="314"/>
      <c r="V30" s="323"/>
      <c r="W30" s="322"/>
      <c r="X30" s="472" t="s">
        <v>736</v>
      </c>
      <c r="Y30" s="472"/>
      <c r="Z30" s="322"/>
      <c r="AA30" s="322"/>
      <c r="AB30" s="322"/>
      <c r="AC30" s="357"/>
    </row>
    <row r="31" spans="1:29" ht="15" customHeight="1" x14ac:dyDescent="0.2">
      <c r="A31" s="45"/>
      <c r="B31" s="312"/>
      <c r="C31" s="45"/>
      <c r="D31" s="45"/>
      <c r="E31" s="315"/>
      <c r="F31" s="45"/>
      <c r="G31" s="45"/>
      <c r="H31" s="315"/>
      <c r="I31" s="45"/>
      <c r="J31" s="45"/>
      <c r="K31" s="315"/>
      <c r="L31" s="45"/>
      <c r="M31" s="45"/>
      <c r="N31" s="315"/>
      <c r="O31" s="45"/>
      <c r="P31" s="45"/>
      <c r="Q31" s="315"/>
      <c r="R31" s="45"/>
      <c r="S31" s="45"/>
      <c r="T31" s="315"/>
      <c r="U31" s="314"/>
      <c r="V31" s="323"/>
      <c r="W31" s="472"/>
      <c r="X31" s="472" t="s">
        <v>717</v>
      </c>
      <c r="Y31" s="472" t="s">
        <v>162</v>
      </c>
      <c r="Z31" s="472" t="s">
        <v>717</v>
      </c>
      <c r="AA31" s="472" t="s">
        <v>162</v>
      </c>
      <c r="AB31" s="322"/>
      <c r="AC31" s="357"/>
    </row>
    <row r="32" spans="1:29" ht="18" customHeight="1" x14ac:dyDescent="0.2">
      <c r="A32" s="45"/>
      <c r="B32" s="312"/>
      <c r="C32" s="315"/>
      <c r="D32" s="315"/>
      <c r="E32" s="315"/>
      <c r="F32" s="315"/>
      <c r="G32" s="315"/>
      <c r="H32" s="315"/>
      <c r="I32" s="315"/>
      <c r="J32" s="315"/>
      <c r="K32" s="315"/>
      <c r="L32" s="315"/>
      <c r="M32" s="315"/>
      <c r="N32" s="315"/>
      <c r="O32" s="315"/>
      <c r="P32" s="321"/>
      <c r="Q32" s="315"/>
      <c r="R32" s="315"/>
      <c r="S32" s="321"/>
      <c r="T32" s="315"/>
      <c r="U32" s="314"/>
      <c r="V32" s="323"/>
      <c r="W32" s="322"/>
      <c r="X32" s="322" t="str">
        <f>New_Technology</f>
        <v>Waste Heat Recovery (Heat Pump)</v>
      </c>
      <c r="Y32" s="322" t="str">
        <f>Commercial_Benchmark</f>
        <v>Evaporative Condenser</v>
      </c>
      <c r="Z32" s="322" t="s">
        <v>724</v>
      </c>
      <c r="AA32" s="322" t="s">
        <v>724</v>
      </c>
      <c r="AB32" s="322"/>
      <c r="AC32" s="357"/>
    </row>
    <row r="33" spans="1:29" ht="42" customHeight="1" x14ac:dyDescent="0.2">
      <c r="A33" s="45"/>
      <c r="B33" s="312"/>
      <c r="C33" s="1407" t="s">
        <v>737</v>
      </c>
      <c r="D33" s="1407"/>
      <c r="E33" s="324"/>
      <c r="F33" s="1407" t="s">
        <v>738</v>
      </c>
      <c r="G33" s="1407"/>
      <c r="H33" s="324"/>
      <c r="I33" s="1407" t="s">
        <v>739</v>
      </c>
      <c r="J33" s="1407"/>
      <c r="K33" s="324"/>
      <c r="L33" s="1407" t="s">
        <v>740</v>
      </c>
      <c r="M33" s="1407"/>
      <c r="N33" s="324"/>
      <c r="O33" s="1407" t="s">
        <v>741</v>
      </c>
      <c r="P33" s="1407"/>
      <c r="Q33" s="324"/>
      <c r="R33" s="1407" t="s">
        <v>741</v>
      </c>
      <c r="S33" s="1407"/>
      <c r="T33" s="315"/>
      <c r="U33" s="314"/>
      <c r="V33" s="323"/>
      <c r="W33" s="475" t="s">
        <v>734</v>
      </c>
      <c r="X33" s="591">
        <f>'Summary Tables'!K58</f>
        <v>0.92359388773589646</v>
      </c>
      <c r="Y33" s="591">
        <f>'Summary Tables'!M58</f>
        <v>1.6777717651518871</v>
      </c>
      <c r="Z33" s="322" t="str">
        <f>IF(X$36&gt;0,IF((X33/X$36)&gt;0.02,$W33&amp;": "&amp;CHAR(10)&amp;TEXT(X33,"#,##0.0")&amp;" TBtu",""),"")</f>
        <v/>
      </c>
      <c r="AA33" s="322" t="str">
        <f>IF(Y$36&gt;0,IF((Y33/Y$36)&gt;0.02,$W33&amp;": "&amp;CHAR(10)&amp;TEXT(Y33,"#,##0.0")&amp;" TBtu",""),"")</f>
        <v/>
      </c>
      <c r="AB33" s="322"/>
      <c r="AC33" s="357"/>
    </row>
    <row r="34" spans="1:29" ht="15" customHeight="1" x14ac:dyDescent="0.2">
      <c r="A34" s="45"/>
      <c r="B34" s="312"/>
      <c r="C34" s="340">
        <f>Y11-X11</f>
        <v>192.91479516119756</v>
      </c>
      <c r="D34" s="325" t="s">
        <v>742</v>
      </c>
      <c r="E34" s="325"/>
      <c r="F34" s="341">
        <f>Y28-X28</f>
        <v>1.254287229850878</v>
      </c>
      <c r="G34" s="325" t="s">
        <v>742</v>
      </c>
      <c r="H34" s="325"/>
      <c r="I34" s="408">
        <f>Y43-X43</f>
        <v>12.86671103847948</v>
      </c>
      <c r="J34" s="325" t="s">
        <v>742</v>
      </c>
      <c r="K34" s="325"/>
      <c r="L34" s="369">
        <f>(Y21-X21)*0.000001</f>
        <v>647.69761044647942</v>
      </c>
      <c r="M34" s="325" t="s">
        <v>743</v>
      </c>
      <c r="N34" s="325"/>
      <c r="O34" s="509">
        <f>'Results Dashboard'!Y36-'Results Dashboard'!X36</f>
        <v>45.629950944390188</v>
      </c>
      <c r="P34" s="325" t="s">
        <v>743</v>
      </c>
      <c r="Q34" s="325"/>
      <c r="R34" s="508">
        <f>Y50-X50</f>
        <v>11.121622025468049</v>
      </c>
      <c r="S34" s="325" t="s">
        <v>743</v>
      </c>
      <c r="T34" s="315"/>
      <c r="U34" s="314"/>
      <c r="V34" s="323"/>
      <c r="W34" s="475" t="s">
        <v>735</v>
      </c>
      <c r="X34" s="591">
        <f>'Summary Tables'!K59</f>
        <v>9.8866550814139392E-2</v>
      </c>
      <c r="Y34" s="591">
        <f>'Summary Tables'!M59</f>
        <v>3.9228370623538531</v>
      </c>
      <c r="Z34" s="322" t="str">
        <f t="shared" ref="Z34:Z35" si="2">IF(X$36&gt;0,IF((X34/X$36)&gt;0.02,$W34&amp;": "&amp;CHAR(10)&amp;TEXT(X34,"#,##0.0")&amp;" TBtu",""),"")</f>
        <v/>
      </c>
      <c r="AA34" s="322" t="str">
        <f t="shared" ref="AA34:AA35" si="3">IF(Y$36&gt;0,IF((Y34/Y$36)&gt;0.02,$W34&amp;": "&amp;CHAR(10)&amp;TEXT(Y34,"#,##0.0")&amp;" TBtu",""),"")</f>
        <v>Manufacturing Energy: 
3.9 TBtu</v>
      </c>
      <c r="AB34" s="322"/>
      <c r="AC34" s="357"/>
    </row>
    <row r="35" spans="1:29" ht="51" x14ac:dyDescent="0.2">
      <c r="A35" s="45"/>
      <c r="B35" s="312"/>
      <c r="C35" s="342">
        <f>C34/Y11</f>
        <v>0.58851468333959744</v>
      </c>
      <c r="D35" s="344" t="s">
        <v>744</v>
      </c>
      <c r="E35" s="343"/>
      <c r="F35" s="342">
        <f>F34/Y28</f>
        <v>0.81743762686504318</v>
      </c>
      <c r="G35" s="344" t="s">
        <v>745</v>
      </c>
      <c r="H35" s="343"/>
      <c r="I35" s="342">
        <f>I34/Y43</f>
        <v>0.13639430281293224</v>
      </c>
      <c r="J35" s="344" t="s">
        <v>745</v>
      </c>
      <c r="K35" s="343"/>
      <c r="L35" s="342">
        <f>(Y21-X21)/Y21</f>
        <v>0.58407542633625598</v>
      </c>
      <c r="M35" s="344" t="s">
        <v>744</v>
      </c>
      <c r="N35" s="343"/>
      <c r="O35" s="342">
        <f>O34/Y36</f>
        <v>0.34291887880660527</v>
      </c>
      <c r="P35" s="344" t="s">
        <v>746</v>
      </c>
      <c r="Q35" s="343"/>
      <c r="R35" s="342">
        <f>R34/Y50</f>
        <v>4.2900304821784241</v>
      </c>
      <c r="S35" s="344" t="s">
        <v>747</v>
      </c>
      <c r="T35" s="345"/>
      <c r="U35" s="314"/>
      <c r="V35" s="323"/>
      <c r="W35" s="475" t="s">
        <v>748</v>
      </c>
      <c r="X35" s="591">
        <f>'Summary Tables'!K60</f>
        <v>86.410985718984719</v>
      </c>
      <c r="Y35" s="591">
        <f>'Summary Tables'!M60</f>
        <v>127.46278827441921</v>
      </c>
      <c r="Z35" s="322" t="str">
        <f t="shared" si="2"/>
        <v>Use Phase Energy: 
86.4 TBtu</v>
      </c>
      <c r="AA35" s="322" t="str">
        <f t="shared" si="3"/>
        <v>Use Phase Energy: 
127.5 TBtu</v>
      </c>
      <c r="AB35" s="322"/>
      <c r="AC35" s="357"/>
    </row>
    <row r="36" spans="1:29" ht="16" x14ac:dyDescent="0.2">
      <c r="A36" s="45"/>
      <c r="B36" s="312"/>
      <c r="C36" s="342"/>
      <c r="D36" s="344"/>
      <c r="E36" s="343"/>
      <c r="F36" s="342"/>
      <c r="G36" s="344"/>
      <c r="H36" s="343"/>
      <c r="I36" s="342"/>
      <c r="J36" s="344"/>
      <c r="K36" s="343"/>
      <c r="L36" s="342"/>
      <c r="M36" s="344"/>
      <c r="N36" s="343"/>
      <c r="O36" s="342"/>
      <c r="P36" s="344"/>
      <c r="Q36" s="343"/>
      <c r="R36" s="342"/>
      <c r="S36" s="344"/>
      <c r="T36" s="345"/>
      <c r="U36" s="314"/>
      <c r="V36" s="323"/>
      <c r="W36" s="322" t="s">
        <v>371</v>
      </c>
      <c r="X36" s="591">
        <f>SUM(X33:X35)</f>
        <v>87.43344615753476</v>
      </c>
      <c r="Y36" s="591">
        <f>SUM(Y33:Y35)</f>
        <v>133.06339710192495</v>
      </c>
      <c r="Z36" s="322"/>
      <c r="AA36" s="322"/>
      <c r="AB36" s="322"/>
      <c r="AC36" s="357"/>
    </row>
    <row r="37" spans="1:29" ht="15" customHeight="1" x14ac:dyDescent="0.2">
      <c r="A37" s="45"/>
      <c r="B37" s="312"/>
      <c r="C37" s="339" t="s">
        <v>749</v>
      </c>
      <c r="D37" s="326"/>
      <c r="E37" s="315"/>
      <c r="F37" s="339" t="s">
        <v>750</v>
      </c>
      <c r="G37" s="326"/>
      <c r="H37" s="315"/>
      <c r="I37" s="339" t="s">
        <v>751</v>
      </c>
      <c r="J37" s="326"/>
      <c r="K37" s="315"/>
      <c r="L37" s="339" t="s">
        <v>752</v>
      </c>
      <c r="M37" s="326"/>
      <c r="N37" s="315"/>
      <c r="O37" s="339" t="s">
        <v>753</v>
      </c>
      <c r="P37" s="326"/>
      <c r="Q37" s="315"/>
      <c r="R37" s="339" t="s">
        <v>754</v>
      </c>
      <c r="S37" s="326"/>
      <c r="T37" s="315"/>
      <c r="U37" s="314"/>
      <c r="V37" s="323"/>
      <c r="W37" s="322"/>
      <c r="X37" s="322"/>
      <c r="Y37" s="322"/>
      <c r="Z37" s="322"/>
      <c r="AA37" s="322"/>
      <c r="AB37" s="322"/>
      <c r="AC37" s="357"/>
    </row>
    <row r="38" spans="1:29" ht="15" customHeight="1" x14ac:dyDescent="0.2">
      <c r="A38" s="45"/>
      <c r="B38" s="312"/>
      <c r="C38" s="333" t="s">
        <v>755</v>
      </c>
      <c r="D38" s="334" t="s">
        <v>756</v>
      </c>
      <c r="E38" s="315"/>
      <c r="F38" s="328" t="s">
        <v>757</v>
      </c>
      <c r="G38" s="327" t="s">
        <v>758</v>
      </c>
      <c r="H38" s="315"/>
      <c r="I38" s="333" t="s">
        <v>757</v>
      </c>
      <c r="J38" s="334" t="s">
        <v>759</v>
      </c>
      <c r="K38" s="315"/>
      <c r="L38" s="333" t="s">
        <v>755</v>
      </c>
      <c r="M38" s="334" t="s">
        <v>756</v>
      </c>
      <c r="N38" s="315"/>
      <c r="O38" s="328" t="s">
        <v>757</v>
      </c>
      <c r="P38" s="327" t="s">
        <v>758</v>
      </c>
      <c r="Q38" s="315"/>
      <c r="R38" s="333" t="s">
        <v>757</v>
      </c>
      <c r="S38" s="334" t="s">
        <v>759</v>
      </c>
      <c r="T38" s="315"/>
      <c r="U38" s="314"/>
      <c r="V38" s="323"/>
      <c r="W38" s="322"/>
      <c r="X38" s="472" t="s">
        <v>760</v>
      </c>
      <c r="Y38" s="472"/>
      <c r="Z38" s="322"/>
      <c r="AA38" s="322"/>
      <c r="AB38" s="322"/>
      <c r="AC38" s="357"/>
    </row>
    <row r="39" spans="1:29" x14ac:dyDescent="0.2">
      <c r="A39" s="45"/>
      <c r="B39" s="312"/>
      <c r="C39" s="329" t="s">
        <v>761</v>
      </c>
      <c r="D39" s="335">
        <f>Y6-X6</f>
        <v>74.293743058126609</v>
      </c>
      <c r="E39" s="315"/>
      <c r="F39" s="329" t="s">
        <v>670</v>
      </c>
      <c r="G39" s="350">
        <f>Y26-X26</f>
        <v>0.20662407600438104</v>
      </c>
      <c r="H39" s="315"/>
      <c r="I39" s="329" t="s">
        <v>670</v>
      </c>
      <c r="J39" s="412">
        <f>Y41-X41</f>
        <v>37.00736617412781</v>
      </c>
      <c r="K39" s="315"/>
      <c r="L39" s="329" t="s">
        <v>761</v>
      </c>
      <c r="M39" s="370">
        <f>(Y16-X16)*0.000001</f>
        <v>284.73077027027028</v>
      </c>
      <c r="N39" s="315"/>
      <c r="O39" s="329" t="s">
        <v>762</v>
      </c>
      <c r="P39" s="510">
        <f>Y33-X33</f>
        <v>0.75417787741599063</v>
      </c>
      <c r="Q39" s="315"/>
      <c r="R39" s="329" t="s">
        <v>762</v>
      </c>
      <c r="S39" s="505">
        <f>Y47-X47</f>
        <v>6.7538443267783244E-2</v>
      </c>
      <c r="T39" s="315"/>
      <c r="U39" s="314"/>
      <c r="V39" s="45"/>
      <c r="W39" s="472"/>
      <c r="X39" s="472" t="s">
        <v>717</v>
      </c>
      <c r="Y39" s="472" t="s">
        <v>162</v>
      </c>
      <c r="Z39" s="472" t="s">
        <v>717</v>
      </c>
      <c r="AA39" s="472" t="s">
        <v>162</v>
      </c>
      <c r="AB39" s="322"/>
      <c r="AC39" s="357"/>
    </row>
    <row r="40" spans="1:29" ht="15" customHeight="1" x14ac:dyDescent="0.2">
      <c r="A40" s="45"/>
      <c r="B40" s="312"/>
      <c r="C40" s="330" t="s">
        <v>670</v>
      </c>
      <c r="D40" s="336">
        <f>Y7-X7</f>
        <v>83.406842783505169</v>
      </c>
      <c r="E40" s="315"/>
      <c r="F40" s="330" t="s">
        <v>111</v>
      </c>
      <c r="G40" s="351">
        <f>Y27-X27</f>
        <v>1.0476631538464971</v>
      </c>
      <c r="H40" s="315"/>
      <c r="I40" s="331" t="s">
        <v>111</v>
      </c>
      <c r="J40" s="413">
        <f>Y42-X42</f>
        <v>-24.140655135648345</v>
      </c>
      <c r="K40" s="315"/>
      <c r="L40" s="330" t="s">
        <v>670</v>
      </c>
      <c r="M40" s="371">
        <f>(Y17-X17)*0.000001</f>
        <v>304.43497615979385</v>
      </c>
      <c r="N40" s="315"/>
      <c r="O40" s="330" t="s">
        <v>111</v>
      </c>
      <c r="P40" s="511">
        <f>Y34-X34</f>
        <v>3.8239705115397138</v>
      </c>
      <c r="Q40" s="315"/>
      <c r="R40" s="330" t="s">
        <v>111</v>
      </c>
      <c r="S40" s="506">
        <f t="shared" ref="S40" si="4">Y48-X48</f>
        <v>-4.4056695622558248E-2</v>
      </c>
      <c r="T40" s="315"/>
      <c r="U40" s="314"/>
      <c r="V40" s="45"/>
      <c r="W40" s="322"/>
      <c r="X40" s="322" t="str">
        <f>New_Technology</f>
        <v>Waste Heat Recovery (Heat Pump)</v>
      </c>
      <c r="Y40" s="322" t="str">
        <f>Commercial_Benchmark</f>
        <v>Evaporative Condenser</v>
      </c>
      <c r="Z40" s="322" t="s">
        <v>724</v>
      </c>
      <c r="AA40" s="322" t="s">
        <v>724</v>
      </c>
      <c r="AB40" s="322"/>
      <c r="AC40" s="357"/>
    </row>
    <row r="41" spans="1:29" ht="15" customHeight="1" x14ac:dyDescent="0.2">
      <c r="A41" s="45"/>
      <c r="B41" s="312"/>
      <c r="C41" s="330" t="s">
        <v>763</v>
      </c>
      <c r="D41" s="336">
        <f>Y8-X8</f>
        <v>7.7102577916417347</v>
      </c>
      <c r="E41" s="315"/>
      <c r="F41" s="332" t="s">
        <v>764</v>
      </c>
      <c r="G41" s="352">
        <f>SUM(G39:G40)</f>
        <v>1.254287229850878</v>
      </c>
      <c r="H41" s="315"/>
      <c r="I41" s="331" t="s">
        <v>764</v>
      </c>
      <c r="J41" s="413">
        <f>SUM(J39:J40)</f>
        <v>12.866711038479465</v>
      </c>
      <c r="K41" s="315"/>
      <c r="L41" s="330" t="s">
        <v>763</v>
      </c>
      <c r="M41" s="371">
        <f>(Y18-X18)*0.000001</f>
        <v>28.142440939492328</v>
      </c>
      <c r="N41" s="315"/>
      <c r="O41" s="331" t="s">
        <v>693</v>
      </c>
      <c r="P41" s="512">
        <f>Y35-X35</f>
        <v>41.051802555434492</v>
      </c>
      <c r="Q41" s="315"/>
      <c r="R41" s="331" t="s">
        <v>693</v>
      </c>
      <c r="S41" s="507">
        <f>Y49-X49</f>
        <v>11.098140277822823</v>
      </c>
      <c r="T41" s="315"/>
      <c r="U41" s="314"/>
      <c r="V41" s="45"/>
      <c r="W41" s="475" t="s">
        <v>765</v>
      </c>
      <c r="X41" s="478">
        <f>'Summary Tables'!E58</f>
        <v>15.27594515568493</v>
      </c>
      <c r="Y41" s="478">
        <f>'Summary Tables'!G58</f>
        <v>52.28331132981274</v>
      </c>
      <c r="Z41" s="322" t="str">
        <f>IF(X$43&gt;0,IF((X41/X$43)&gt;0.02,$W41&amp;": "&amp;CHAR(10)&amp;TEXT(X41,"#,##0")&amp;" lbs CO2-e",""),"")</f>
        <v>Raw Materials Emissions: 
15 lbs CO2-e</v>
      </c>
      <c r="AA41" s="322" t="str">
        <f>IF(Y$43&gt;0,IF((Y41/Y$43)&gt;0.02,$W41&amp;": "&amp;CHAR(10)&amp;TEXT(Y41,"#,##0")&amp;" lbs CO2-e",""),"")</f>
        <v>Raw Materials Emissions: 
52 lbs CO2-e</v>
      </c>
      <c r="AB41" s="322"/>
    </row>
    <row r="42" spans="1:29" ht="15" customHeight="1" x14ac:dyDescent="0.2">
      <c r="A42" s="45"/>
      <c r="B42" s="312"/>
      <c r="C42" s="330" t="s">
        <v>671</v>
      </c>
      <c r="D42" s="336">
        <f>Y9-X9</f>
        <v>8.3258693361433078</v>
      </c>
      <c r="E42" s="315"/>
      <c r="F42" s="315"/>
      <c r="G42" s="315"/>
      <c r="H42" s="315"/>
      <c r="I42" s="315"/>
      <c r="J42" s="315"/>
      <c r="K42" s="315"/>
      <c r="L42" s="330" t="s">
        <v>671</v>
      </c>
      <c r="M42" s="371">
        <f>(Y19-X19)*0.000001</f>
        <v>30.38942307692307</v>
      </c>
      <c r="N42" s="315"/>
      <c r="O42" s="332" t="s">
        <v>764</v>
      </c>
      <c r="P42" s="513">
        <f>SUM(P39:P41)</f>
        <v>45.629950944390195</v>
      </c>
      <c r="Q42" s="315"/>
      <c r="R42" s="331" t="s">
        <v>764</v>
      </c>
      <c r="S42" s="507">
        <f>SUM(S39:S41)</f>
        <v>11.121622025468048</v>
      </c>
      <c r="T42" s="315"/>
      <c r="U42" s="314"/>
      <c r="V42" s="45"/>
      <c r="W42" s="475" t="s">
        <v>766</v>
      </c>
      <c r="X42" s="478">
        <f>'Summary Tables'!E59</f>
        <v>66.192010086775895</v>
      </c>
      <c r="Y42" s="478">
        <f>'Summary Tables'!G59</f>
        <v>42.05135495112755</v>
      </c>
      <c r="Z42" s="322" t="str">
        <f>IF(X$43&gt;0,IF((X42/X$43)&gt;0.02,$W42&amp;": "&amp;CHAR(10)&amp;TEXT(X42,"#,##0")&amp;" lbs CO2-e",""),"")</f>
        <v>Manufacturing Emissions: 
66 lbs CO2-e</v>
      </c>
      <c r="AA42" s="322" t="str">
        <f>IF(Y$43&gt;0,IF((Y42/Y$43)&gt;0.02,$W42&amp;": "&amp;CHAR(10)&amp;TEXT(Y42,"#,##0")&amp;" lbs CO2-e",""),"")</f>
        <v>Manufacturing Emissions: 
42 lbs CO2-e</v>
      </c>
      <c r="AB42" s="322"/>
    </row>
    <row r="43" spans="1:29" ht="15" customHeight="1" x14ac:dyDescent="0.2">
      <c r="A43" s="45"/>
      <c r="B43" s="312"/>
      <c r="C43" s="332" t="s">
        <v>767</v>
      </c>
      <c r="D43" s="639">
        <f>SUM(D39:D42)</f>
        <v>173.73671296941683</v>
      </c>
      <c r="E43" s="315"/>
      <c r="F43" s="315"/>
      <c r="G43" s="315"/>
      <c r="H43" s="315"/>
      <c r="I43" s="315"/>
      <c r="J43" s="315"/>
      <c r="K43" s="315"/>
      <c r="L43" s="332" t="s">
        <v>767</v>
      </c>
      <c r="M43" s="372">
        <f>SUM(M39:M42)</f>
        <v>647.69761044647953</v>
      </c>
      <c r="N43" s="315"/>
      <c r="O43" s="337"/>
      <c r="P43" s="315"/>
      <c r="Q43" s="356"/>
      <c r="R43" s="356"/>
      <c r="S43" s="315"/>
      <c r="T43" s="315"/>
      <c r="U43" s="314"/>
      <c r="V43" s="45"/>
      <c r="W43" s="322" t="s">
        <v>371</v>
      </c>
      <c r="X43" s="478">
        <f>SUM(X41:X42)</f>
        <v>81.467955242460818</v>
      </c>
      <c r="Y43" s="478">
        <f>SUM(Y41:Y42)</f>
        <v>94.334666280940297</v>
      </c>
      <c r="Z43" s="322"/>
      <c r="AA43" s="322"/>
      <c r="AB43" s="322"/>
    </row>
    <row r="44" spans="1:29" ht="15" customHeight="1" x14ac:dyDescent="0.2">
      <c r="A44" s="45"/>
      <c r="B44" s="312"/>
      <c r="C44" s="337"/>
      <c r="D44" s="409"/>
      <c r="E44" s="315"/>
      <c r="F44" s="315"/>
      <c r="G44" s="315"/>
      <c r="H44" s="315"/>
      <c r="I44" s="315"/>
      <c r="J44" s="315"/>
      <c r="K44" s="315"/>
      <c r="L44" s="337"/>
      <c r="M44" s="414"/>
      <c r="N44" s="315"/>
      <c r="O44" s="337"/>
      <c r="P44" s="315"/>
      <c r="Q44" s="356"/>
      <c r="R44" s="356"/>
      <c r="S44" s="315"/>
      <c r="T44" s="315"/>
      <c r="U44" s="314"/>
      <c r="V44" s="45"/>
      <c r="W44" s="322"/>
      <c r="X44" s="473"/>
      <c r="Y44" s="477"/>
      <c r="Z44" s="322"/>
      <c r="AA44" s="322"/>
      <c r="AB44" s="322"/>
    </row>
    <row r="45" spans="1:29" ht="15" customHeight="1" x14ac:dyDescent="0.2">
      <c r="A45" s="45"/>
      <c r="B45" s="312"/>
      <c r="C45" s="356" t="s">
        <v>768</v>
      </c>
      <c r="D45" s="315"/>
      <c r="E45" s="315"/>
      <c r="F45" s="315"/>
      <c r="G45" s="315"/>
      <c r="H45" s="315"/>
      <c r="I45" s="315"/>
      <c r="J45" s="315"/>
      <c r="K45" s="315"/>
      <c r="L45" s="337"/>
      <c r="M45" s="338"/>
      <c r="N45" s="315"/>
      <c r="O45" s="337"/>
      <c r="P45" s="315"/>
      <c r="Q45" s="337"/>
      <c r="R45" s="337"/>
      <c r="S45" s="315"/>
      <c r="T45" s="315"/>
      <c r="U45" s="314"/>
      <c r="V45" s="45"/>
      <c r="W45" s="472"/>
      <c r="X45" s="472" t="s">
        <v>717</v>
      </c>
      <c r="Y45" s="472" t="s">
        <v>162</v>
      </c>
      <c r="Z45" s="472" t="s">
        <v>717</v>
      </c>
      <c r="AA45" s="472" t="s">
        <v>162</v>
      </c>
      <c r="AB45" s="322"/>
    </row>
    <row r="46" spans="1:29" ht="15" customHeight="1" x14ac:dyDescent="0.2">
      <c r="A46" s="45"/>
      <c r="B46" s="312"/>
      <c r="C46" s="337" t="s">
        <v>769</v>
      </c>
      <c r="D46" s="346">
        <f>1</f>
        <v>1</v>
      </c>
      <c r="E46" s="315"/>
      <c r="F46" s="315"/>
      <c r="G46" s="315"/>
      <c r="H46" s="315"/>
      <c r="I46" s="315"/>
      <c r="J46" s="315"/>
      <c r="K46" s="315"/>
      <c r="L46" s="337"/>
      <c r="M46" s="338"/>
      <c r="N46" s="315"/>
      <c r="O46" s="337"/>
      <c r="P46" s="315"/>
      <c r="Q46" s="337"/>
      <c r="R46" s="337"/>
      <c r="S46" s="315"/>
      <c r="T46" s="315"/>
      <c r="U46" s="314"/>
      <c r="V46" s="45"/>
      <c r="W46" s="322"/>
      <c r="X46" s="322" t="str">
        <f>New_Technology</f>
        <v>Waste Heat Recovery (Heat Pump)</v>
      </c>
      <c r="Y46" s="322" t="str">
        <f>Commercial_Benchmark</f>
        <v>Evaporative Condenser</v>
      </c>
      <c r="Z46" s="322" t="s">
        <v>724</v>
      </c>
      <c r="AA46" s="322" t="s">
        <v>724</v>
      </c>
      <c r="AB46" s="322"/>
    </row>
    <row r="47" spans="1:29" ht="15" customHeight="1" x14ac:dyDescent="0.2">
      <c r="A47" s="45"/>
      <c r="B47" s="312"/>
      <c r="C47" s="337" t="s">
        <v>770</v>
      </c>
      <c r="D47" s="346">
        <f>0</f>
        <v>0</v>
      </c>
      <c r="E47" s="315"/>
      <c r="F47" s="315"/>
      <c r="G47" s="315"/>
      <c r="H47" s="315"/>
      <c r="I47" s="315"/>
      <c r="J47" s="315"/>
      <c r="K47" s="315"/>
      <c r="L47" s="337"/>
      <c r="M47" s="338"/>
      <c r="N47" s="315"/>
      <c r="O47" s="337"/>
      <c r="P47" s="315"/>
      <c r="Q47" s="337"/>
      <c r="R47" s="337"/>
      <c r="S47" s="315"/>
      <c r="T47" s="315"/>
      <c r="U47" s="314"/>
      <c r="V47" s="45"/>
      <c r="W47" s="475" t="s">
        <v>765</v>
      </c>
      <c r="X47" s="504">
        <f>'Summary Tables'!L58</f>
        <v>2.7878599909124998E-2</v>
      </c>
      <c r="Y47" s="504">
        <f>'Summary Tables'!N58</f>
        <v>9.5417043176908245E-2</v>
      </c>
      <c r="Z47" s="322" t="str">
        <f>IF(X$50&gt;0,IF((X47/X$50)&gt;0.02,$W47&amp;": "&amp;CHAR(10)&amp;TEXT(X47,"#,##0.0")&amp;" million tons CO2-e",""),"")</f>
        <v/>
      </c>
      <c r="AA47" s="322" t="str">
        <f>IF(Y$50&gt;0,IF((Y47/Y$50)&gt;0.02,$W47&amp;": "&amp;CHAR(10)&amp;TEXT(Y47,"#,##0.0")&amp;" million tons CO2-e",""),"")</f>
        <v>Raw Materials Emissions: 
0.1 million tons CO2-e</v>
      </c>
      <c r="AB47" s="322"/>
    </row>
    <row r="48" spans="1:29" x14ac:dyDescent="0.2">
      <c r="A48" s="45"/>
      <c r="B48" s="312"/>
      <c r="C48" s="337" t="s">
        <v>771</v>
      </c>
      <c r="D48" s="346">
        <f>-1</f>
        <v>-1</v>
      </c>
      <c r="E48" s="315"/>
      <c r="F48" s="315"/>
      <c r="G48" s="315"/>
      <c r="H48" s="315"/>
      <c r="I48" s="315"/>
      <c r="J48" s="315"/>
      <c r="K48" s="315"/>
      <c r="L48" s="337"/>
      <c r="M48" s="338"/>
      <c r="N48" s="315"/>
      <c r="O48" s="337"/>
      <c r="P48" s="338"/>
      <c r="Q48" s="338"/>
      <c r="R48" s="338"/>
      <c r="S48" s="338"/>
      <c r="T48" s="315"/>
      <c r="U48" s="314"/>
      <c r="V48" s="45"/>
      <c r="W48" s="475" t="s">
        <v>766</v>
      </c>
      <c r="X48" s="504">
        <f>'Summary Tables'!L59</f>
        <v>0.12080041840836603</v>
      </c>
      <c r="Y48" s="504">
        <f>'Summary Tables'!N59</f>
        <v>7.674372278580778E-2</v>
      </c>
      <c r="Z48" s="322" t="str">
        <f t="shared" ref="Z48:Z49" si="5">IF(X$50&gt;0,IF((X48/X$50)&gt;0.02,$W48&amp;": "&amp;CHAR(10)&amp;TEXT(X48,"#,##0.0")&amp;" million tons CO2-e",""),"")</f>
        <v/>
      </c>
      <c r="AA48" s="322" t="str">
        <f t="shared" ref="AA48:AA49" si="6">IF(Y$50&gt;0,IF((Y48/Y$50)&gt;0.02,$W48&amp;": "&amp;CHAR(10)&amp;TEXT(Y48,"#,##0.0")&amp;" million tons CO2-e",""),"")</f>
        <v>Manufacturing Emissions: 
0.1 million tons CO2-e</v>
      </c>
      <c r="AB48" s="322"/>
    </row>
    <row r="49" spans="1:28" x14ac:dyDescent="0.2">
      <c r="A49" s="45"/>
      <c r="B49" s="316"/>
      <c r="C49" s="347"/>
      <c r="D49" s="410"/>
      <c r="E49" s="318"/>
      <c r="F49" s="318"/>
      <c r="G49" s="318"/>
      <c r="H49" s="318"/>
      <c r="I49" s="318"/>
      <c r="J49" s="318"/>
      <c r="K49" s="318"/>
      <c r="L49" s="347"/>
      <c r="M49" s="348"/>
      <c r="N49" s="318"/>
      <c r="O49" s="347"/>
      <c r="P49" s="348"/>
      <c r="Q49" s="348"/>
      <c r="R49" s="348"/>
      <c r="S49" s="348"/>
      <c r="T49" s="318"/>
      <c r="U49" s="317"/>
      <c r="V49" s="45"/>
      <c r="W49" s="475" t="s">
        <v>772</v>
      </c>
      <c r="X49" s="504">
        <f>'Summary Tables'!L60</f>
        <v>-8.6778667774861944</v>
      </c>
      <c r="Y49" s="504">
        <f>'Summary Tables'!N60</f>
        <v>2.4202735003366289</v>
      </c>
      <c r="Z49" s="322" t="str">
        <f t="shared" si="5"/>
        <v/>
      </c>
      <c r="AA49" s="322" t="str">
        <f t="shared" si="6"/>
        <v>Use Phase Emissions: 
2.4 million tons CO2-e</v>
      </c>
      <c r="AB49" s="322"/>
    </row>
    <row r="50" spans="1:28" x14ac:dyDescent="0.2">
      <c r="A50" s="45"/>
      <c r="B50" s="1206" t="s">
        <v>124</v>
      </c>
      <c r="C50" s="1169"/>
      <c r="D50" s="1170"/>
      <c r="E50" s="45"/>
      <c r="F50" s="45"/>
      <c r="G50" s="45"/>
      <c r="H50" s="45"/>
      <c r="I50" s="45"/>
      <c r="J50" s="45"/>
      <c r="K50" s="45"/>
      <c r="L50" s="45"/>
      <c r="M50" s="45"/>
      <c r="N50" s="45"/>
      <c r="O50" s="45"/>
      <c r="P50" s="45"/>
      <c r="Q50" s="45"/>
      <c r="R50" s="45"/>
      <c r="S50" s="45"/>
      <c r="T50" s="45"/>
      <c r="U50" s="45"/>
      <c r="V50" s="45"/>
      <c r="W50" s="322" t="s">
        <v>371</v>
      </c>
      <c r="X50" s="504">
        <f>SUM(X47:X49)</f>
        <v>-8.5291877591687033</v>
      </c>
      <c r="Y50" s="504">
        <f>SUM(Y47:Y49)</f>
        <v>2.5924342662993451</v>
      </c>
      <c r="Z50" s="322"/>
      <c r="AA50" s="322"/>
      <c r="AB50" s="322"/>
    </row>
    <row r="51" spans="1:28" x14ac:dyDescent="0.2">
      <c r="A51" s="45"/>
      <c r="B51" s="45"/>
      <c r="C51" s="45"/>
      <c r="D51" s="45"/>
      <c r="E51" s="45"/>
      <c r="F51" s="45"/>
      <c r="G51" s="45"/>
      <c r="H51" s="45"/>
      <c r="I51" s="45"/>
      <c r="J51" s="45"/>
      <c r="K51" s="45"/>
      <c r="L51" s="45"/>
      <c r="M51" s="45"/>
      <c r="N51" s="45"/>
      <c r="O51" s="45"/>
      <c r="P51" s="45"/>
      <c r="Q51" s="45"/>
      <c r="R51" s="45"/>
      <c r="S51" s="45"/>
      <c r="T51" s="45"/>
      <c r="U51" s="45"/>
      <c r="V51" s="45"/>
      <c r="W51" s="322"/>
      <c r="X51" s="322"/>
      <c r="Y51" s="322"/>
      <c r="Z51" s="322"/>
      <c r="AA51" s="322"/>
      <c r="AB51" s="322"/>
    </row>
  </sheetData>
  <mergeCells count="18">
    <mergeCell ref="R5:S5"/>
    <mergeCell ref="R33:S33"/>
    <mergeCell ref="B3:C3"/>
    <mergeCell ref="L3:S3"/>
    <mergeCell ref="D3:H3"/>
    <mergeCell ref="B50:D50"/>
    <mergeCell ref="B1:T1"/>
    <mergeCell ref="B2:T2"/>
    <mergeCell ref="O33:P33"/>
    <mergeCell ref="L33:M33"/>
    <mergeCell ref="C33:D33"/>
    <mergeCell ref="F33:G33"/>
    <mergeCell ref="C5:D5"/>
    <mergeCell ref="F5:G5"/>
    <mergeCell ref="L5:M5"/>
    <mergeCell ref="O5:P5"/>
    <mergeCell ref="I5:J5"/>
    <mergeCell ref="I33:J33"/>
  </mergeCells>
  <hyperlinks>
    <hyperlink ref="B50:D50" location="FullDataLanding" display="Return to Home Page" xr:uid="{B7CAFC77-D150-4DF3-A130-07CE4B00616C}"/>
  </hyperlinks>
  <pageMargins left="0.25" right="0.25" top="0.75" bottom="0.75" header="0.3" footer="0.3"/>
  <pageSetup scale="42"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30" id="{B32DC846-7AC4-44C6-B091-5A805A564C7C}">
            <x14:iconSet custom="1">
              <x14:cfvo type="percent">
                <xm:f>0</xm:f>
              </x14:cfvo>
              <x14:cfvo type="num">
                <xm:f>0</xm:f>
              </x14:cfvo>
              <x14:cfvo type="num" gte="0">
                <xm:f>0</xm:f>
              </x14:cfvo>
              <x14:cfIcon iconSet="3TrafficLights1" iconId="0"/>
              <x14:cfIcon iconSet="3TrafficLights1" iconId="1"/>
              <x14:cfIcon iconSet="3TrafficLights1" iconId="2"/>
            </x14:iconSet>
          </x14:cfRule>
          <xm:sqref>D39:D42</xm:sqref>
        </x14:conditionalFormatting>
        <x14:conditionalFormatting xmlns:xm="http://schemas.microsoft.com/office/excel/2006/main">
          <x14:cfRule type="iconSet" priority="22" id="{E50812B1-DED4-4147-85D8-11D41E9F4137}">
            <x14:iconSet custom="1">
              <x14:cfvo type="percent">
                <xm:f>0</xm:f>
              </x14:cfvo>
              <x14:cfvo type="num">
                <xm:f>0</xm:f>
              </x14:cfvo>
              <x14:cfvo type="num" gte="0">
                <xm:f>0</xm:f>
              </x14:cfvo>
              <x14:cfIcon iconSet="3TrafficLights1" iconId="0"/>
              <x14:cfIcon iconSet="3TrafficLights1" iconId="1"/>
              <x14:cfIcon iconSet="3TrafficLights1" iconId="2"/>
            </x14:iconSet>
          </x14:cfRule>
          <xm:sqref>D46:D47</xm:sqref>
        </x14:conditionalFormatting>
        <x14:conditionalFormatting xmlns:xm="http://schemas.microsoft.com/office/excel/2006/main">
          <x14:cfRule type="iconSet" priority="9" id="{CD876E04-0293-4C9C-988C-73BCF7EC45C0}">
            <x14:iconSet custom="1">
              <x14:cfvo type="percent">
                <xm:f>0</xm:f>
              </x14:cfvo>
              <x14:cfvo type="num">
                <xm:f>0</xm:f>
              </x14:cfvo>
              <x14:cfvo type="num" gte="0">
                <xm:f>0</xm:f>
              </x14:cfvo>
              <x14:cfIcon iconSet="3TrafficLights1" iconId="0"/>
              <x14:cfIcon iconSet="3TrafficLights1" iconId="1"/>
              <x14:cfIcon iconSet="3TrafficLights1" iconId="2"/>
            </x14:iconSet>
          </x14:cfRule>
          <xm:sqref>D48:D49</xm:sqref>
        </x14:conditionalFormatting>
        <x14:conditionalFormatting xmlns:xm="http://schemas.microsoft.com/office/excel/2006/main">
          <x14:cfRule type="iconSet" priority="21" id="{FDC0F94B-FEC5-40F6-80AD-F2BD8A4227C4}">
            <x14:iconSet custom="1">
              <x14:cfvo type="percent">
                <xm:f>0</xm:f>
              </x14:cfvo>
              <x14:cfvo type="num">
                <xm:f>0</xm:f>
              </x14:cfvo>
              <x14:cfvo type="num" gte="0">
                <xm:f>0</xm:f>
              </x14:cfvo>
              <x14:cfIcon iconSet="3TrafficLights1" iconId="0"/>
              <x14:cfIcon iconSet="3TrafficLights1" iconId="1"/>
              <x14:cfIcon iconSet="3TrafficLights1" iconId="2"/>
            </x14:iconSet>
          </x14:cfRule>
          <xm:sqref>G39:G41</xm:sqref>
        </x14:conditionalFormatting>
        <x14:conditionalFormatting xmlns:xm="http://schemas.microsoft.com/office/excel/2006/main">
          <x14:cfRule type="iconSet" priority="6" id="{0D8D0189-53CA-4913-9E00-BADE83FB00F7}">
            <x14:iconSet custom="1">
              <x14:cfvo type="percent">
                <xm:f>0</xm:f>
              </x14:cfvo>
              <x14:cfvo type="num">
                <xm:f>0</xm:f>
              </x14:cfvo>
              <x14:cfvo type="num" gte="0">
                <xm:f>0</xm:f>
              </x14:cfvo>
              <x14:cfIcon iconSet="3TrafficLights1" iconId="0"/>
              <x14:cfIcon iconSet="3TrafficLights1" iconId="1"/>
              <x14:cfIcon iconSet="3TrafficLights1" iconId="2"/>
            </x14:iconSet>
          </x14:cfRule>
          <xm:sqref>J39:J41</xm:sqref>
        </x14:conditionalFormatting>
        <x14:conditionalFormatting xmlns:xm="http://schemas.microsoft.com/office/excel/2006/main">
          <x14:cfRule type="iconSet" priority="29" id="{79F7ECE6-B358-4F0F-B08B-11EFACC09BCA}">
            <x14:iconSet custom="1">
              <x14:cfvo type="percent">
                <xm:f>0</xm:f>
              </x14:cfvo>
              <x14:cfvo type="num">
                <xm:f>0</xm:f>
              </x14:cfvo>
              <x14:cfvo type="num" gte="0">
                <xm:f>0</xm:f>
              </x14:cfvo>
              <x14:cfIcon iconSet="3TrafficLights1" iconId="0"/>
              <x14:cfIcon iconSet="3TrafficLights1" iconId="1"/>
              <x14:cfIcon iconSet="3TrafficLights1" iconId="2"/>
            </x14:iconSet>
          </x14:cfRule>
          <xm:sqref>M39:M42</xm:sqref>
        </x14:conditionalFormatting>
        <x14:conditionalFormatting xmlns:xm="http://schemas.microsoft.com/office/excel/2006/main">
          <x14:cfRule type="iconSet" priority="12" id="{95995B1C-9121-41F6-93D1-415EC7A2A27C}">
            <x14:iconSet custom="1">
              <x14:cfvo type="percent">
                <xm:f>0</xm:f>
              </x14:cfvo>
              <x14:cfvo type="num">
                <xm:f>0</xm:f>
              </x14:cfvo>
              <x14:cfvo type="num" gte="0">
                <xm:f>0</xm:f>
              </x14:cfvo>
              <x14:cfIcon iconSet="3TrafficLights1" iconId="0"/>
              <x14:cfIcon iconSet="3TrafficLights1" iconId="1"/>
              <x14:cfIcon iconSet="3TrafficLights1" iconId="2"/>
            </x14:iconSet>
          </x14:cfRule>
          <xm:sqref>M45:M47</xm:sqref>
        </x14:conditionalFormatting>
        <x14:conditionalFormatting xmlns:xm="http://schemas.microsoft.com/office/excel/2006/main">
          <x14:cfRule type="iconSet" priority="7" id="{3B874A8E-F90F-42B4-A096-5882903F817F}">
            <x14:iconSet custom="1">
              <x14:cfvo type="percent">
                <xm:f>0</xm:f>
              </x14:cfvo>
              <x14:cfvo type="num">
                <xm:f>0</xm:f>
              </x14:cfvo>
              <x14:cfvo type="num" gte="0">
                <xm:f>0</xm:f>
              </x14:cfvo>
              <x14:cfIcon iconSet="3TrafficLights1" iconId="0"/>
              <x14:cfIcon iconSet="3TrafficLights1" iconId="1"/>
              <x14:cfIcon iconSet="3TrafficLights1" iconId="2"/>
            </x14:iconSet>
          </x14:cfRule>
          <xm:sqref>M48:M49</xm:sqref>
        </x14:conditionalFormatting>
        <x14:conditionalFormatting xmlns:xm="http://schemas.microsoft.com/office/excel/2006/main">
          <x14:cfRule type="iconSet" priority="23" id="{198D0313-1B5C-4A3B-AABC-0AE4EEAEF593}">
            <x14:iconSet custom="1">
              <x14:cfvo type="percent">
                <xm:f>0</xm:f>
              </x14:cfvo>
              <x14:cfvo type="num">
                <xm:f>0</xm:f>
              </x14:cfvo>
              <x14:cfvo type="num" gte="0">
                <xm:f>0</xm:f>
              </x14:cfvo>
              <x14:cfIcon iconSet="3TrafficLights1" iconId="0"/>
              <x14:cfIcon iconSet="3TrafficLights1" iconId="1"/>
              <x14:cfIcon iconSet="3TrafficLights1" iconId="2"/>
            </x14:iconSet>
          </x14:cfRule>
          <xm:sqref>P39:P42</xm:sqref>
        </x14:conditionalFormatting>
        <x14:conditionalFormatting xmlns:xm="http://schemas.microsoft.com/office/excel/2006/main">
          <x14:cfRule type="iconSet" priority="8" id="{654A57EE-1698-4549-8E8E-104C301A7C0D}">
            <x14:iconSet custom="1">
              <x14:cfvo type="percent">
                <xm:f>0</xm:f>
              </x14:cfvo>
              <x14:cfvo type="num">
                <xm:f>0</xm:f>
              </x14:cfvo>
              <x14:cfvo type="num" gte="0">
                <xm:f>0</xm:f>
              </x14:cfvo>
              <x14:cfIcon iconSet="3TrafficLights1" iconId="0"/>
              <x14:cfIcon iconSet="3TrafficLights1" iconId="1"/>
              <x14:cfIcon iconSet="3TrafficLights1" iconId="2"/>
            </x14:iconSet>
          </x14:cfRule>
          <xm:sqref>P48:S49</xm:sqref>
        </x14:conditionalFormatting>
        <x14:conditionalFormatting xmlns:xm="http://schemas.microsoft.com/office/excel/2006/main">
          <x14:cfRule type="iconSet" priority="4" id="{85C53602-B2D2-4BC6-95C7-701DD17EDA18}">
            <x14:iconSet custom="1">
              <x14:cfvo type="percent">
                <xm:f>0</xm:f>
              </x14:cfvo>
              <x14:cfvo type="num">
                <xm:f>0</xm:f>
              </x14:cfvo>
              <x14:cfvo type="num" gte="0">
                <xm:f>0</xm:f>
              </x14:cfvo>
              <x14:cfIcon iconSet="3TrafficLights1" iconId="0"/>
              <x14:cfIcon iconSet="3TrafficLights1" iconId="1"/>
              <x14:cfIcon iconSet="3TrafficLights1" iconId="2"/>
            </x14:iconSet>
          </x14:cfRule>
          <xm:sqref>S39:S41</xm:sqref>
        </x14:conditionalFormatting>
        <x14:conditionalFormatting xmlns:xm="http://schemas.microsoft.com/office/excel/2006/main">
          <x14:cfRule type="iconSet" priority="1" id="{7DD63E44-05B5-487E-A145-219A1B5BF603}">
            <x14:iconSet custom="1">
              <x14:cfvo type="percent">
                <xm:f>0</xm:f>
              </x14:cfvo>
              <x14:cfvo type="num">
                <xm:f>0</xm:f>
              </x14:cfvo>
              <x14:cfvo type="num" gte="0">
                <xm:f>0</xm:f>
              </x14:cfvo>
              <x14:cfIcon iconSet="3TrafficLights1" iconId="0"/>
              <x14:cfIcon iconSet="3TrafficLights1" iconId="1"/>
              <x14:cfIcon iconSet="3TrafficLights1" iconId="2"/>
            </x14:iconSet>
          </x14:cfRule>
          <xm:sqref>S42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929-7465-41ED-AA13-79572A3CE697}">
  <sheetPr>
    <tabColor theme="5"/>
  </sheetPr>
  <dimension ref="A1:K104"/>
  <sheetViews>
    <sheetView showGridLines="0" workbookViewId="0">
      <selection activeCell="F7" sqref="F7"/>
    </sheetView>
  </sheetViews>
  <sheetFormatPr baseColWidth="10" defaultColWidth="8.83203125" defaultRowHeight="15" x14ac:dyDescent="0.2"/>
  <cols>
    <col min="1" max="1" width="2.6640625" customWidth="1"/>
    <col min="2" max="2" width="26.6640625" customWidth="1"/>
    <col min="3" max="3" width="4.5" customWidth="1"/>
    <col min="4" max="4" width="35.5" customWidth="1"/>
    <col min="5" max="5" width="32.33203125" customWidth="1"/>
    <col min="6" max="9" width="30.6640625" customWidth="1"/>
    <col min="10" max="10" width="24.6640625" customWidth="1"/>
    <col min="11" max="11" width="2.6640625" customWidth="1"/>
  </cols>
  <sheetData>
    <row r="1" spans="1:11" ht="15.75" customHeight="1" x14ac:dyDescent="0.2">
      <c r="A1" s="5"/>
      <c r="B1" s="1159" t="s">
        <v>0</v>
      </c>
      <c r="C1" s="1160"/>
      <c r="D1" s="1160"/>
      <c r="E1" s="1160"/>
      <c r="F1" s="1160"/>
      <c r="G1" s="1160"/>
      <c r="H1" s="1160"/>
      <c r="I1" s="1160"/>
      <c r="J1" s="1160"/>
      <c r="K1" s="665"/>
    </row>
    <row r="2" spans="1:11" ht="21" customHeight="1" x14ac:dyDescent="0.2">
      <c r="A2" s="5"/>
      <c r="B2" s="1161" t="s">
        <v>1</v>
      </c>
      <c r="C2" s="1162"/>
      <c r="D2" s="1162"/>
      <c r="E2" s="1162"/>
      <c r="F2" s="1162"/>
      <c r="G2" s="1162"/>
      <c r="H2" s="1162"/>
      <c r="I2" s="1162"/>
      <c r="J2" s="1162"/>
      <c r="K2" s="32"/>
    </row>
    <row r="3" spans="1:11" ht="18" x14ac:dyDescent="0.2">
      <c r="A3" s="5"/>
      <c r="B3" s="1163" t="s">
        <v>773</v>
      </c>
      <c r="C3" s="1165"/>
      <c r="D3" s="1165"/>
      <c r="E3" s="1165"/>
      <c r="F3" s="1165"/>
      <c r="G3" s="1165"/>
      <c r="H3" s="1165"/>
      <c r="I3" s="1165"/>
      <c r="J3" s="1165"/>
      <c r="K3" s="648"/>
    </row>
    <row r="4" spans="1:11" ht="18" x14ac:dyDescent="0.2">
      <c r="A4" s="5"/>
      <c r="B4" s="603"/>
      <c r="C4" s="597"/>
      <c r="D4" s="597"/>
      <c r="E4" s="597"/>
      <c r="F4" s="597"/>
      <c r="G4" s="597"/>
      <c r="H4" s="597"/>
      <c r="I4" s="597"/>
      <c r="J4" s="597"/>
      <c r="K4" s="6"/>
    </row>
    <row r="5" spans="1:11" ht="60" customHeight="1" x14ac:dyDescent="0.2">
      <c r="A5" s="5"/>
      <c r="B5" s="1188" t="s">
        <v>774</v>
      </c>
      <c r="C5" s="1189"/>
      <c r="D5" s="1189"/>
      <c r="E5" s="1189"/>
      <c r="F5" s="1189"/>
      <c r="G5" s="1189"/>
      <c r="H5" s="1189"/>
      <c r="I5" s="1189"/>
      <c r="J5" s="24"/>
      <c r="K5" s="6"/>
    </row>
    <row r="6" spans="1:11" ht="18" x14ac:dyDescent="0.2">
      <c r="A6" s="5"/>
      <c r="B6" s="554" t="s">
        <v>43</v>
      </c>
      <c r="C6" s="553"/>
      <c r="D6" s="676"/>
      <c r="E6" s="676"/>
      <c r="F6" s="676"/>
      <c r="G6" s="676"/>
      <c r="H6" s="24"/>
      <c r="I6" s="24"/>
      <c r="J6" s="24"/>
      <c r="K6" s="6"/>
    </row>
    <row r="7" spans="1:11" ht="18" x14ac:dyDescent="0.2">
      <c r="A7" s="5"/>
      <c r="B7" s="554" t="s">
        <v>775</v>
      </c>
      <c r="C7" s="553"/>
      <c r="D7" s="676"/>
      <c r="E7" s="676"/>
      <c r="F7" s="676"/>
      <c r="G7" s="676"/>
      <c r="H7" s="24"/>
      <c r="I7" s="24"/>
      <c r="J7" s="24"/>
      <c r="K7" s="6"/>
    </row>
    <row r="8" spans="1:11" ht="24.75" customHeight="1" x14ac:dyDescent="0.2">
      <c r="A8" s="5"/>
      <c r="B8" s="1414" t="s">
        <v>776</v>
      </c>
      <c r="C8" s="1299"/>
      <c r="D8" s="1299"/>
      <c r="E8" s="1299"/>
      <c r="F8" s="1299"/>
      <c r="G8" s="1299"/>
      <c r="H8" s="1299"/>
      <c r="I8" s="1299"/>
      <c r="J8" s="24"/>
      <c r="K8" s="6"/>
    </row>
    <row r="9" spans="1:11" ht="18" x14ac:dyDescent="0.2">
      <c r="A9" s="5"/>
      <c r="B9" s="646"/>
      <c r="C9" s="647"/>
      <c r="D9" s="647"/>
      <c r="E9" s="647"/>
      <c r="F9" s="647"/>
      <c r="G9" s="24"/>
      <c r="H9" s="24"/>
      <c r="I9" s="24"/>
      <c r="J9" s="24"/>
      <c r="K9" s="6"/>
    </row>
    <row r="10" spans="1:11" x14ac:dyDescent="0.2">
      <c r="B10" s="100" t="s">
        <v>639</v>
      </c>
      <c r="C10" s="295"/>
      <c r="D10" s="650" t="s">
        <v>640</v>
      </c>
      <c r="E10" s="124" t="str">
        <f>EndUse_Product</f>
        <v>Cooled Waste Water</v>
      </c>
      <c r="F10" s="441"/>
      <c r="G10" s="21"/>
      <c r="H10" s="21"/>
      <c r="I10" s="21"/>
      <c r="J10" s="21"/>
      <c r="K10" s="26"/>
    </row>
    <row r="11" spans="1:11" ht="15" customHeight="1" x14ac:dyDescent="0.2">
      <c r="B11" s="1412" t="s">
        <v>777</v>
      </c>
      <c r="C11" s="295"/>
      <c r="D11" s="650" t="s">
        <v>778</v>
      </c>
      <c r="E11" s="520"/>
      <c r="F11" s="629"/>
      <c r="G11" s="21"/>
      <c r="H11" s="21"/>
      <c r="I11" s="21"/>
      <c r="J11" s="21"/>
      <c r="K11" s="26"/>
    </row>
    <row r="12" spans="1:11" x14ac:dyDescent="0.2">
      <c r="B12" s="1412"/>
      <c r="C12" s="21"/>
      <c r="D12" s="650" t="s">
        <v>779</v>
      </c>
      <c r="E12" s="519"/>
      <c r="F12" s="629"/>
      <c r="G12" s="21"/>
      <c r="H12" s="21"/>
      <c r="I12" s="21"/>
      <c r="J12" s="21"/>
      <c r="K12" s="12"/>
    </row>
    <row r="13" spans="1:11" x14ac:dyDescent="0.2">
      <c r="B13" s="1412"/>
      <c r="C13" s="21"/>
      <c r="D13" s="21"/>
      <c r="E13" s="21"/>
      <c r="F13" s="21"/>
      <c r="G13" s="21"/>
      <c r="H13" s="21"/>
      <c r="I13" s="21"/>
      <c r="J13" s="21"/>
      <c r="K13" s="12"/>
    </row>
    <row r="14" spans="1:11" x14ac:dyDescent="0.2">
      <c r="B14" s="661"/>
      <c r="C14" s="21"/>
      <c r="D14" s="21"/>
      <c r="E14" s="21"/>
      <c r="F14" s="21"/>
      <c r="G14" s="21"/>
      <c r="H14" s="21"/>
      <c r="I14" s="21"/>
      <c r="J14" s="21"/>
      <c r="K14" s="12"/>
    </row>
    <row r="15" spans="1:11" x14ac:dyDescent="0.2">
      <c r="B15" s="661"/>
      <c r="C15" s="21"/>
      <c r="D15" s="21"/>
      <c r="E15" s="21"/>
      <c r="F15" s="21"/>
      <c r="G15" s="21"/>
      <c r="H15" s="21"/>
      <c r="I15" s="21"/>
      <c r="J15" s="21"/>
      <c r="K15" s="12"/>
    </row>
    <row r="16" spans="1:11" x14ac:dyDescent="0.2">
      <c r="B16" s="521" t="s">
        <v>70</v>
      </c>
      <c r="C16" s="21"/>
      <c r="D16" s="21"/>
      <c r="E16" s="21"/>
      <c r="F16" s="21"/>
      <c r="G16" s="21"/>
      <c r="H16" s="21"/>
      <c r="I16" s="21"/>
      <c r="J16" s="21"/>
      <c r="K16" s="12"/>
    </row>
    <row r="17" spans="2:11" ht="40.5" customHeight="1" x14ac:dyDescent="0.2">
      <c r="B17" s="1413" t="s">
        <v>780</v>
      </c>
      <c r="C17" s="529"/>
      <c r="D17" s="296"/>
      <c r="E17" s="596" t="s">
        <v>646</v>
      </c>
      <c r="F17" s="596" t="s">
        <v>647</v>
      </c>
      <c r="G17" s="596" t="s">
        <v>781</v>
      </c>
      <c r="H17" s="596" t="s">
        <v>782</v>
      </c>
      <c r="I17" s="596" t="s">
        <v>783</v>
      </c>
      <c r="J17" s="181" t="str">
        <f>"Annual Production of Typical Industrial-Scale Facility ("&amp;E12&amp;"/yr)*"</f>
        <v>Annual Production of Typical Industrial-Scale Facility (/yr)*</v>
      </c>
      <c r="K17" s="12"/>
    </row>
    <row r="18" spans="2:11" ht="27" customHeight="1" x14ac:dyDescent="0.2">
      <c r="B18" s="1413"/>
      <c r="C18" s="21"/>
      <c r="D18" s="183" t="s">
        <v>651</v>
      </c>
      <c r="E18" s="518"/>
      <c r="F18" s="518"/>
      <c r="G18" s="518"/>
      <c r="H18" s="517"/>
      <c r="I18" s="517"/>
      <c r="J18" s="250"/>
      <c r="K18" s="12"/>
    </row>
    <row r="19" spans="2:11" ht="28" x14ac:dyDescent="0.2">
      <c r="B19" s="1413"/>
      <c r="C19" s="21"/>
      <c r="D19" s="183" t="s">
        <v>652</v>
      </c>
      <c r="E19" s="518"/>
      <c r="F19" s="518"/>
      <c r="G19" s="518"/>
      <c r="H19" s="517"/>
      <c r="I19" s="517"/>
      <c r="J19" s="250"/>
      <c r="K19" s="12"/>
    </row>
    <row r="20" spans="2:11" ht="28" x14ac:dyDescent="0.2">
      <c r="B20" s="1413"/>
      <c r="C20" s="21"/>
      <c r="D20" s="183" t="s">
        <v>653</v>
      </c>
      <c r="E20" s="518"/>
      <c r="F20" s="518"/>
      <c r="G20" s="518"/>
      <c r="H20" s="517"/>
      <c r="I20" s="517"/>
      <c r="J20" s="21" t="s">
        <v>784</v>
      </c>
      <c r="K20" s="12"/>
    </row>
    <row r="21" spans="2:11" x14ac:dyDescent="0.2">
      <c r="B21" s="1413"/>
      <c r="C21" s="21"/>
      <c r="D21" s="21" t="s">
        <v>785</v>
      </c>
      <c r="E21" s="67"/>
      <c r="F21" s="67"/>
      <c r="G21" s="67"/>
      <c r="H21" s="522"/>
      <c r="I21" s="522"/>
      <c r="J21" s="45"/>
      <c r="K21" s="12"/>
    </row>
    <row r="22" spans="2:11" x14ac:dyDescent="0.2">
      <c r="B22" s="1413"/>
      <c r="C22" s="21"/>
      <c r="D22" s="21"/>
      <c r="E22" s="21"/>
      <c r="F22" s="21"/>
      <c r="G22" s="21"/>
      <c r="H22" s="21"/>
      <c r="I22" s="21"/>
      <c r="J22" s="21"/>
      <c r="K22" s="12"/>
    </row>
    <row r="23" spans="2:11" x14ac:dyDescent="0.2">
      <c r="B23" s="661"/>
      <c r="C23" s="21"/>
      <c r="D23" s="21"/>
      <c r="E23" s="21"/>
      <c r="F23" s="21"/>
      <c r="G23" s="21"/>
      <c r="H23" s="21"/>
      <c r="I23" s="21"/>
      <c r="J23" s="21"/>
      <c r="K23" s="12"/>
    </row>
    <row r="24" spans="2:11" x14ac:dyDescent="0.2">
      <c r="B24" s="521" t="s">
        <v>175</v>
      </c>
      <c r="C24" s="529"/>
      <c r="D24" s="181" t="str">
        <f>"Reference Volume ("&amp;RapidAnnualProdUnits&amp;")*"</f>
        <v>Reference Volume ()*</v>
      </c>
      <c r="E24" s="520"/>
      <c r="F24" s="21" t="s">
        <v>786</v>
      </c>
      <c r="G24" s="21"/>
      <c r="H24" s="21"/>
      <c r="I24" s="21"/>
      <c r="J24" s="21"/>
      <c r="K24" s="12"/>
    </row>
    <row r="25" spans="2:11" ht="15" customHeight="1" x14ac:dyDescent="0.2">
      <c r="B25" s="1412" t="s">
        <v>787</v>
      </c>
      <c r="C25" s="21"/>
      <c r="D25" s="181" t="str">
        <f>"Equivalent Reference Volume ("&amp;E12&amp;")"</f>
        <v>Equivalent Reference Volume ()</v>
      </c>
      <c r="E25" s="520"/>
      <c r="F25" s="21" t="s">
        <v>788</v>
      </c>
      <c r="G25" s="21"/>
      <c r="H25" s="21"/>
      <c r="I25" s="21"/>
      <c r="J25" s="21"/>
      <c r="K25" s="12"/>
    </row>
    <row r="26" spans="2:11" ht="15" customHeight="1" x14ac:dyDescent="0.2">
      <c r="B26" s="1412"/>
      <c r="C26" s="21"/>
      <c r="D26" s="1299" t="s">
        <v>789</v>
      </c>
      <c r="E26" s="1299"/>
      <c r="F26" s="1299"/>
      <c r="G26" s="1299"/>
      <c r="H26" s="1299"/>
      <c r="I26" s="21"/>
      <c r="J26" s="21"/>
      <c r="K26" s="12"/>
    </row>
    <row r="27" spans="2:11" ht="15" customHeight="1" x14ac:dyDescent="0.2">
      <c r="B27" s="1412"/>
      <c r="C27" s="21"/>
      <c r="D27" s="1299" t="s">
        <v>790</v>
      </c>
      <c r="E27" s="1299"/>
      <c r="F27" s="1299"/>
      <c r="G27" s="1299"/>
      <c r="H27" s="1299"/>
      <c r="I27" s="21"/>
      <c r="J27" s="21"/>
      <c r="K27" s="12"/>
    </row>
    <row r="28" spans="2:11" ht="15" customHeight="1" x14ac:dyDescent="0.2">
      <c r="B28" s="1412"/>
      <c r="C28" s="21"/>
      <c r="D28" s="653"/>
      <c r="E28" s="653"/>
      <c r="F28" s="653"/>
      <c r="G28" s="653"/>
      <c r="H28" s="653"/>
      <c r="I28" s="21"/>
      <c r="J28" s="21"/>
      <c r="K28" s="12"/>
    </row>
    <row r="29" spans="2:11" ht="15" customHeight="1" x14ac:dyDescent="0.2">
      <c r="B29" s="1412"/>
      <c r="C29" s="21"/>
      <c r="D29" s="653"/>
      <c r="E29" s="653"/>
      <c r="F29" s="653"/>
      <c r="G29" s="653"/>
      <c r="H29" s="653"/>
      <c r="I29" s="21"/>
      <c r="J29" s="21"/>
      <c r="K29" s="12"/>
    </row>
    <row r="30" spans="2:11" ht="15" customHeight="1" x14ac:dyDescent="0.2">
      <c r="B30" s="661"/>
      <c r="C30" s="21"/>
      <c r="D30" s="653"/>
      <c r="E30" s="653"/>
      <c r="F30" s="653"/>
      <c r="G30" s="653"/>
      <c r="H30" s="653"/>
      <c r="I30" s="21"/>
      <c r="J30" s="21"/>
      <c r="K30" s="12"/>
    </row>
    <row r="31" spans="2:11" ht="15" customHeight="1" x14ac:dyDescent="0.2">
      <c r="B31" s="521" t="s">
        <v>791</v>
      </c>
      <c r="C31" s="21"/>
      <c r="D31" s="181" t="str">
        <f>"Potentially Replaceable Production ("&amp;RapidAnnualProdUnits&amp;")*"</f>
        <v>Potentially Replaceable Production ()*</v>
      </c>
      <c r="E31" s="562">
        <f>RapidAnnualProd*RapidPotentialMarketShare</f>
        <v>0</v>
      </c>
      <c r="F31" s="21" t="s">
        <v>792</v>
      </c>
      <c r="G31" s="21"/>
      <c r="H31" s="653"/>
      <c r="I31" s="21"/>
      <c r="J31" s="21"/>
      <c r="K31" s="12"/>
    </row>
    <row r="32" spans="2:11" ht="15" customHeight="1" x14ac:dyDescent="0.2">
      <c r="B32" s="565" t="s">
        <v>793</v>
      </c>
      <c r="C32" s="21"/>
      <c r="D32" s="181" t="str">
        <f>"Potential New Technology Production ("&amp;RapidAnnualProdUnits&amp;")*"</f>
        <v>Potential New Technology Production ()*</v>
      </c>
      <c r="E32" s="562" t="e">
        <f>RapidReplaceableProduction*RapidRefVolume/RapidRefVolumeBenchmark</f>
        <v>#DIV/0!</v>
      </c>
      <c r="F32" s="21" t="s">
        <v>794</v>
      </c>
      <c r="G32" s="21"/>
      <c r="H32" s="653"/>
      <c r="I32" s="21"/>
      <c r="J32" s="21"/>
      <c r="K32" s="12"/>
    </row>
    <row r="33" spans="2:11" ht="15" customHeight="1" x14ac:dyDescent="0.2">
      <c r="B33" s="661"/>
      <c r="C33" s="21"/>
      <c r="D33" s="67"/>
      <c r="E33" s="563"/>
      <c r="F33" s="21"/>
      <c r="G33" s="21"/>
      <c r="H33" s="653"/>
      <c r="I33" s="21"/>
      <c r="J33" s="21"/>
      <c r="K33" s="12"/>
    </row>
    <row r="34" spans="2:11" ht="15" customHeight="1" x14ac:dyDescent="0.2">
      <c r="B34" s="38"/>
      <c r="C34" s="21"/>
      <c r="D34" s="653"/>
      <c r="E34" s="653"/>
      <c r="F34" s="653"/>
      <c r="G34" s="653"/>
      <c r="H34" s="653"/>
      <c r="I34" s="21"/>
      <c r="J34" s="21"/>
      <c r="K34" s="12"/>
    </row>
    <row r="35" spans="2:11" x14ac:dyDescent="0.2">
      <c r="B35" s="521" t="s">
        <v>655</v>
      </c>
      <c r="C35" s="529"/>
      <c r="D35" s="385"/>
      <c r="E35" s="149"/>
      <c r="F35" s="566" t="s">
        <v>795</v>
      </c>
      <c r="G35" s="647"/>
      <c r="H35" s="21"/>
      <c r="I35" s="21"/>
      <c r="J35" s="21"/>
      <c r="K35" s="12"/>
    </row>
    <row r="36" spans="2:11" ht="15" customHeight="1" x14ac:dyDescent="0.2">
      <c r="B36" s="1411" t="s">
        <v>796</v>
      </c>
      <c r="C36" s="21"/>
      <c r="D36" s="284"/>
      <c r="E36" s="45"/>
      <c r="F36" s="201" t="s">
        <v>657</v>
      </c>
      <c r="G36" s="272" t="s">
        <v>162</v>
      </c>
      <c r="H36" s="21"/>
      <c r="I36" s="21"/>
      <c r="J36" s="21"/>
      <c r="K36" s="12"/>
    </row>
    <row r="37" spans="2:11" ht="27" customHeight="1" x14ac:dyDescent="0.2">
      <c r="B37" s="1411"/>
      <c r="C37" s="21"/>
      <c r="D37" s="45"/>
      <c r="E37" s="443" t="s">
        <v>163</v>
      </c>
      <c r="F37" s="524">
        <f>RpaidNewTech</f>
        <v>0</v>
      </c>
      <c r="G37" s="272">
        <f>RapidBenchmarkTech</f>
        <v>0</v>
      </c>
      <c r="H37" s="21"/>
      <c r="I37" s="21"/>
      <c r="J37" s="21"/>
      <c r="K37" s="12"/>
    </row>
    <row r="38" spans="2:11" x14ac:dyDescent="0.2">
      <c r="B38" s="1411"/>
      <c r="C38" s="21"/>
      <c r="D38" s="45"/>
      <c r="E38" s="443" t="s">
        <v>175</v>
      </c>
      <c r="F38" s="525" t="str">
        <f>TEXT(RapidRefVolume,"#,##0")&amp;" "&amp;RapidAnnualProdUnits</f>
        <v xml:space="preserve">0 </v>
      </c>
      <c r="G38" s="526" t="str">
        <f>TEXT(RapidRefVolumeBenchmark,"#,##0")&amp;" "&amp;RapidAnnualProdUnits</f>
        <v xml:space="preserve">0 </v>
      </c>
      <c r="H38" s="21"/>
      <c r="I38" s="21"/>
      <c r="J38" s="21"/>
      <c r="K38" s="12"/>
    </row>
    <row r="39" spans="2:11" x14ac:dyDescent="0.2">
      <c r="B39" s="1411"/>
      <c r="C39" s="21"/>
      <c r="D39" s="443"/>
      <c r="E39" s="443"/>
      <c r="F39" s="527" t="str">
        <f>" of "&amp;RapidProduct</f>
        <v xml:space="preserve"> of Cooled Waste Water</v>
      </c>
      <c r="G39" s="528" t="str">
        <f>" of "&amp;RapidProduct</f>
        <v xml:space="preserve"> of Cooled Waste Water</v>
      </c>
      <c r="H39" s="21"/>
      <c r="I39" s="21"/>
      <c r="J39" s="21"/>
      <c r="K39" s="12"/>
    </row>
    <row r="40" spans="2:11" x14ac:dyDescent="0.2">
      <c r="B40" s="1411"/>
      <c r="C40" s="21"/>
      <c r="D40" s="443"/>
      <c r="E40" s="275"/>
      <c r="F40" s="141" t="s">
        <v>797</v>
      </c>
      <c r="G40" s="27"/>
      <c r="H40" s="21"/>
      <c r="I40" s="21"/>
      <c r="J40" s="21"/>
      <c r="K40" s="12"/>
    </row>
    <row r="41" spans="2:11" x14ac:dyDescent="0.2">
      <c r="B41" s="38"/>
      <c r="C41" s="21"/>
      <c r="D41" s="654" t="s">
        <v>666</v>
      </c>
      <c r="E41" s="124" t="s">
        <v>484</v>
      </c>
      <c r="F41" s="523"/>
      <c r="G41" s="523"/>
      <c r="H41" s="21"/>
      <c r="I41" s="21"/>
      <c r="J41" s="21"/>
      <c r="K41" s="12"/>
    </row>
    <row r="42" spans="2:11" x14ac:dyDescent="0.2">
      <c r="B42" s="38"/>
      <c r="C42" s="21"/>
      <c r="D42" s="192"/>
      <c r="E42" s="124" t="s">
        <v>489</v>
      </c>
      <c r="F42" s="523"/>
      <c r="G42" s="523"/>
      <c r="H42" s="21"/>
      <c r="I42" s="21"/>
      <c r="J42" s="21"/>
      <c r="K42" s="12"/>
    </row>
    <row r="43" spans="2:11" ht="15" customHeight="1" x14ac:dyDescent="0.2">
      <c r="B43" s="555"/>
      <c r="C43" s="21"/>
      <c r="D43" s="192"/>
      <c r="E43" s="124" t="s">
        <v>495</v>
      </c>
      <c r="F43" s="523"/>
      <c r="G43" s="523"/>
      <c r="H43" s="21"/>
      <c r="I43" s="21"/>
      <c r="J43" s="21"/>
      <c r="K43" s="12"/>
    </row>
    <row r="44" spans="2:11" x14ac:dyDescent="0.2">
      <c r="B44" s="555"/>
      <c r="C44" s="21"/>
      <c r="D44" s="192"/>
      <c r="E44" s="124" t="s">
        <v>667</v>
      </c>
      <c r="F44" s="523"/>
      <c r="G44" s="523"/>
      <c r="H44" s="21"/>
      <c r="I44" s="21"/>
      <c r="J44" s="21"/>
      <c r="K44" s="12"/>
    </row>
    <row r="45" spans="2:11" x14ac:dyDescent="0.2">
      <c r="B45" s="555"/>
      <c r="C45" s="21"/>
      <c r="D45" s="192"/>
      <c r="E45" s="181" t="s">
        <v>798</v>
      </c>
      <c r="F45" s="523"/>
      <c r="G45" s="523"/>
      <c r="H45" s="21" t="s">
        <v>799</v>
      </c>
      <c r="I45" s="21"/>
      <c r="J45" s="21"/>
      <c r="K45" s="12"/>
    </row>
    <row r="46" spans="2:11" x14ac:dyDescent="0.2">
      <c r="B46" s="555"/>
      <c r="C46" s="21"/>
      <c r="D46" s="654" t="s">
        <v>669</v>
      </c>
      <c r="E46" s="124" t="s">
        <v>670</v>
      </c>
      <c r="F46" s="523"/>
      <c r="G46" s="523"/>
      <c r="H46" s="21"/>
      <c r="I46" s="21"/>
      <c r="J46" s="21"/>
      <c r="K46" s="12"/>
    </row>
    <row r="47" spans="2:11" x14ac:dyDescent="0.2">
      <c r="B47" s="555"/>
      <c r="C47" s="21"/>
      <c r="D47" s="192"/>
      <c r="E47" s="124" t="s">
        <v>378</v>
      </c>
      <c r="F47" s="523"/>
      <c r="G47" s="523"/>
      <c r="H47" s="21"/>
      <c r="I47" s="21"/>
      <c r="J47" s="21"/>
      <c r="K47" s="12"/>
    </row>
    <row r="48" spans="2:11" x14ac:dyDescent="0.2">
      <c r="B48" s="555"/>
      <c r="C48" s="21"/>
      <c r="D48" s="192"/>
      <c r="E48" s="124" t="s">
        <v>671</v>
      </c>
      <c r="F48" s="523"/>
      <c r="G48" s="523"/>
      <c r="H48" s="21"/>
      <c r="I48" s="21"/>
      <c r="J48" s="21"/>
      <c r="K48" s="12"/>
    </row>
    <row r="49" spans="2:11" x14ac:dyDescent="0.2">
      <c r="B49" s="84"/>
      <c r="C49" s="45"/>
      <c r="D49" s="193"/>
      <c r="E49" s="124" t="s">
        <v>565</v>
      </c>
      <c r="F49" s="523"/>
      <c r="G49" s="523"/>
      <c r="H49" s="45"/>
      <c r="I49" s="45"/>
      <c r="J49" s="45"/>
      <c r="K49" s="12"/>
    </row>
    <row r="50" spans="2:11" x14ac:dyDescent="0.2">
      <c r="B50" s="84"/>
      <c r="C50" s="45"/>
      <c r="D50" s="654" t="s">
        <v>672</v>
      </c>
      <c r="E50" s="124" t="s">
        <v>673</v>
      </c>
      <c r="F50" s="248">
        <f>SUM(F41:F44)</f>
        <v>0</v>
      </c>
      <c r="G50" s="248">
        <f>SUM(G41:G44)</f>
        <v>0</v>
      </c>
      <c r="H50" s="45"/>
      <c r="I50" s="45"/>
      <c r="J50" s="45"/>
      <c r="K50" s="12"/>
    </row>
    <row r="51" spans="2:11" x14ac:dyDescent="0.2">
      <c r="B51" s="84"/>
      <c r="C51" s="45"/>
      <c r="D51" s="655"/>
      <c r="E51" s="124" t="s">
        <v>674</v>
      </c>
      <c r="F51" s="248">
        <f>SUM(F46:F49)</f>
        <v>0</v>
      </c>
      <c r="G51" s="248">
        <f>SUM(G46:G49)</f>
        <v>0</v>
      </c>
      <c r="H51" s="45"/>
      <c r="I51" s="45"/>
      <c r="J51" s="45"/>
      <c r="K51" s="12"/>
    </row>
    <row r="52" spans="2:11" x14ac:dyDescent="0.2">
      <c r="B52" s="84"/>
      <c r="C52" s="45"/>
      <c r="D52" s="656"/>
      <c r="E52" s="235" t="s">
        <v>675</v>
      </c>
      <c r="F52" s="248">
        <f>SUM(F50:F51)</f>
        <v>0</v>
      </c>
      <c r="G52" s="248">
        <f t="shared" ref="G52" si="0">SUM(G50:G51)</f>
        <v>0</v>
      </c>
      <c r="H52" s="45"/>
      <c r="I52" s="45"/>
      <c r="J52" s="45"/>
      <c r="K52" s="12"/>
    </row>
    <row r="53" spans="2:11" x14ac:dyDescent="0.2">
      <c r="B53" s="84"/>
      <c r="C53" s="45"/>
      <c r="D53" s="378"/>
      <c r="E53" s="564"/>
      <c r="F53" s="434"/>
      <c r="G53" s="434"/>
      <c r="H53" s="45"/>
      <c r="I53" s="45"/>
      <c r="J53" s="45"/>
      <c r="K53" s="12"/>
    </row>
    <row r="54" spans="2:11" x14ac:dyDescent="0.2">
      <c r="B54" s="84"/>
      <c r="C54" s="45"/>
      <c r="D54" s="45"/>
      <c r="E54" s="45"/>
      <c r="F54" s="45"/>
      <c r="G54" s="45"/>
      <c r="H54" s="45"/>
      <c r="I54" s="45"/>
      <c r="J54" s="45"/>
      <c r="K54" s="12"/>
    </row>
    <row r="55" spans="2:11" x14ac:dyDescent="0.2">
      <c r="B55" s="521" t="s">
        <v>800</v>
      </c>
      <c r="C55" s="529"/>
      <c r="D55" s="385"/>
      <c r="E55" s="149"/>
      <c r="F55" s="566" t="s">
        <v>801</v>
      </c>
      <c r="G55" s="647"/>
      <c r="H55" s="45"/>
      <c r="I55" s="45"/>
      <c r="J55" s="45"/>
      <c r="K55" s="12"/>
    </row>
    <row r="56" spans="2:11" ht="15" customHeight="1" x14ac:dyDescent="0.2">
      <c r="B56" s="1411" t="s">
        <v>802</v>
      </c>
      <c r="C56" s="45"/>
      <c r="D56" s="284"/>
      <c r="E56" s="45"/>
      <c r="F56" s="531" t="s">
        <v>657</v>
      </c>
      <c r="G56" s="533"/>
      <c r="H56" s="524" t="s">
        <v>162</v>
      </c>
      <c r="I56" s="534"/>
      <c r="J56" s="45"/>
      <c r="K56" s="12"/>
    </row>
    <row r="57" spans="2:11" ht="27" customHeight="1" x14ac:dyDescent="0.2">
      <c r="B57" s="1411"/>
      <c r="C57" s="45"/>
      <c r="D57" s="45"/>
      <c r="E57" s="443" t="s">
        <v>163</v>
      </c>
      <c r="F57" s="201">
        <f>RpaidNewTech</f>
        <v>0</v>
      </c>
      <c r="G57" s="538"/>
      <c r="H57" s="201">
        <f>RapidBenchmarkTech</f>
        <v>0</v>
      </c>
      <c r="I57" s="539"/>
      <c r="J57" s="45"/>
      <c r="K57" s="12"/>
    </row>
    <row r="58" spans="2:11" x14ac:dyDescent="0.2">
      <c r="B58" s="1411"/>
      <c r="C58" s="45"/>
      <c r="D58" s="45"/>
      <c r="E58" s="443" t="s">
        <v>175</v>
      </c>
      <c r="F58" s="525" t="str">
        <f>TEXT(RapidRefVolume,"#,##0")&amp;" "&amp;RapidAnnualProdUnits</f>
        <v xml:space="preserve">0 </v>
      </c>
      <c r="G58" s="537"/>
      <c r="H58" s="532" t="str">
        <f>TEXT(RapidRefVolumeBenchmark,"#,##0")&amp;" "&amp;RapidAnnualProdUnits</f>
        <v xml:space="preserve">0 </v>
      </c>
      <c r="I58" s="535"/>
      <c r="J58" s="45"/>
      <c r="K58" s="12"/>
    </row>
    <row r="59" spans="2:11" x14ac:dyDescent="0.2">
      <c r="B59" s="1411"/>
      <c r="C59" s="45"/>
      <c r="D59" s="443"/>
      <c r="E59" s="443"/>
      <c r="F59" s="527" t="str">
        <f>" of "&amp;RapidProduct</f>
        <v xml:space="preserve"> of Cooled Waste Water</v>
      </c>
      <c r="G59" s="122"/>
      <c r="H59" s="527" t="str">
        <f>" of "&amp;RapidProduct</f>
        <v xml:space="preserve"> of Cooled Waste Water</v>
      </c>
      <c r="I59" s="536"/>
      <c r="J59" s="45"/>
      <c r="K59" s="12"/>
    </row>
    <row r="60" spans="2:11" ht="43" x14ac:dyDescent="0.2">
      <c r="B60" s="1411"/>
      <c r="C60" s="45"/>
      <c r="D60" s="443"/>
      <c r="E60" s="275"/>
      <c r="F60" s="530" t="s">
        <v>803</v>
      </c>
      <c r="G60" s="530" t="s">
        <v>804</v>
      </c>
      <c r="H60" s="530" t="s">
        <v>803</v>
      </c>
      <c r="I60" s="181" t="s">
        <v>804</v>
      </c>
      <c r="J60" s="45"/>
      <c r="K60" s="12"/>
    </row>
    <row r="61" spans="2:11" ht="15" customHeight="1" x14ac:dyDescent="0.2">
      <c r="B61" s="1411"/>
      <c r="C61" s="556"/>
      <c r="D61" s="654" t="s">
        <v>689</v>
      </c>
      <c r="E61" s="124" t="s">
        <v>805</v>
      </c>
      <c r="F61" s="542"/>
      <c r="G61" s="543"/>
      <c r="H61" s="542"/>
      <c r="I61" s="1064"/>
      <c r="J61" s="45"/>
      <c r="K61" s="12"/>
    </row>
    <row r="62" spans="2:11" x14ac:dyDescent="0.2">
      <c r="B62" s="84"/>
      <c r="C62" s="556"/>
      <c r="D62" s="193"/>
      <c r="E62" s="124" t="s">
        <v>806</v>
      </c>
      <c r="F62" s="542"/>
      <c r="G62" s="543"/>
      <c r="H62" s="542"/>
      <c r="I62" s="543"/>
      <c r="J62" s="45"/>
      <c r="K62" s="12"/>
    </row>
    <row r="63" spans="2:11" x14ac:dyDescent="0.2">
      <c r="B63" s="84"/>
      <c r="C63" s="556"/>
      <c r="D63" s="124" t="s">
        <v>371</v>
      </c>
      <c r="E63" s="124" t="s">
        <v>691</v>
      </c>
      <c r="F63" s="544">
        <f>SUM(F61:F62)</f>
        <v>0</v>
      </c>
      <c r="G63" s="545">
        <f>SUM(G61:G62)</f>
        <v>0</v>
      </c>
      <c r="H63" s="544">
        <f>SUM(H61:H62)</f>
        <v>0</v>
      </c>
      <c r="I63" s="545">
        <f>SUM(I61:I62)</f>
        <v>0</v>
      </c>
      <c r="J63" s="45"/>
      <c r="K63" s="12"/>
    </row>
    <row r="64" spans="2:11" x14ac:dyDescent="0.2">
      <c r="B64" s="84"/>
      <c r="C64" s="556"/>
      <c r="D64" s="21" t="s">
        <v>807</v>
      </c>
      <c r="E64" s="45"/>
      <c r="F64" s="45"/>
      <c r="G64" s="45"/>
      <c r="H64" s="45"/>
      <c r="I64" s="45"/>
      <c r="J64" s="45"/>
      <c r="K64" s="12"/>
    </row>
    <row r="65" spans="2:11" x14ac:dyDescent="0.2">
      <c r="B65" s="84"/>
      <c r="C65" s="556"/>
      <c r="D65" s="540" t="s">
        <v>179</v>
      </c>
      <c r="E65" s="45"/>
      <c r="F65" s="45"/>
      <c r="G65" s="45"/>
      <c r="H65" s="45"/>
      <c r="I65" s="45"/>
      <c r="J65" s="45"/>
      <c r="K65" s="12"/>
    </row>
    <row r="66" spans="2:11" x14ac:dyDescent="0.2">
      <c r="B66" s="84"/>
      <c r="C66" s="45"/>
      <c r="D66" s="21" t="s">
        <v>808</v>
      </c>
      <c r="E66" s="45"/>
      <c r="F66" s="45"/>
      <c r="G66" s="45"/>
      <c r="H66" s="45"/>
      <c r="I66" s="45"/>
      <c r="J66" s="45"/>
      <c r="K66" s="12"/>
    </row>
    <row r="67" spans="2:11" x14ac:dyDescent="0.2">
      <c r="B67" s="84"/>
      <c r="C67" s="45"/>
      <c r="D67" s="540" t="s">
        <v>809</v>
      </c>
      <c r="E67" s="45"/>
      <c r="F67" s="45"/>
      <c r="G67" s="45"/>
      <c r="H67" s="45"/>
      <c r="I67" s="45"/>
      <c r="J67" s="45"/>
      <c r="K67" s="12"/>
    </row>
    <row r="68" spans="2:11" x14ac:dyDescent="0.2">
      <c r="B68" s="84"/>
      <c r="C68" s="45"/>
      <c r="E68" s="45"/>
      <c r="F68" s="45"/>
      <c r="G68" s="45"/>
      <c r="H68" s="45"/>
      <c r="I68" s="45"/>
      <c r="J68" s="45"/>
      <c r="K68" s="12"/>
    </row>
    <row r="69" spans="2:11" ht="15" customHeight="1" x14ac:dyDescent="0.2">
      <c r="B69" s="1412" t="s">
        <v>810</v>
      </c>
      <c r="C69" s="45"/>
      <c r="D69" s="385"/>
      <c r="E69" s="45"/>
      <c r="F69" s="149" t="s">
        <v>811</v>
      </c>
      <c r="G69" s="45"/>
      <c r="H69" s="45"/>
      <c r="I69" s="45"/>
      <c r="J69" s="45"/>
      <c r="K69" s="12"/>
    </row>
    <row r="70" spans="2:11" x14ac:dyDescent="0.2">
      <c r="B70" s="1412"/>
      <c r="C70" s="45"/>
      <c r="D70" s="284"/>
      <c r="E70" s="45"/>
      <c r="F70" s="531" t="s">
        <v>657</v>
      </c>
      <c r="G70" s="546"/>
      <c r="H70" s="524" t="s">
        <v>162</v>
      </c>
      <c r="I70" s="534"/>
      <c r="J70" s="45"/>
      <c r="K70" s="12"/>
    </row>
    <row r="71" spans="2:11" x14ac:dyDescent="0.2">
      <c r="B71" s="1412"/>
      <c r="C71" s="45"/>
      <c r="D71" s="45"/>
      <c r="E71" s="443" t="s">
        <v>163</v>
      </c>
      <c r="F71" s="201">
        <f>RpaidNewTech</f>
        <v>0</v>
      </c>
      <c r="G71" s="538"/>
      <c r="H71" s="201">
        <f>RapidBenchmarkTech</f>
        <v>0</v>
      </c>
      <c r="I71" s="539"/>
      <c r="J71" s="45"/>
      <c r="K71" s="12"/>
    </row>
    <row r="72" spans="2:11" x14ac:dyDescent="0.2">
      <c r="B72" s="1412"/>
      <c r="C72" s="45"/>
      <c r="D72" s="45"/>
      <c r="E72" s="443" t="s">
        <v>812</v>
      </c>
      <c r="F72" s="525" t="e">
        <f>TEXT(RapidPotentialProduction,"#,##0")&amp;" "&amp;RapidAnnualProdUnits</f>
        <v>#DIV/0!</v>
      </c>
      <c r="G72" s="537"/>
      <c r="H72" s="525" t="str">
        <f>TEXT(RapidReplaceableProduction,"#,##0")&amp;" "&amp;RapidAnnualProdUnits</f>
        <v xml:space="preserve">0 </v>
      </c>
      <c r="I72" s="535"/>
      <c r="J72" s="45"/>
      <c r="K72" s="12"/>
    </row>
    <row r="73" spans="2:11" x14ac:dyDescent="0.2">
      <c r="B73" s="1412"/>
      <c r="C73" s="45"/>
      <c r="D73" s="45"/>
      <c r="E73" s="443"/>
      <c r="F73" s="527" t="str">
        <f>" of "&amp;RapidProduct</f>
        <v xml:space="preserve"> of Cooled Waste Water</v>
      </c>
      <c r="G73" s="122"/>
      <c r="H73" s="527" t="str">
        <f>" of "&amp;RapidProduct</f>
        <v xml:space="preserve"> of Cooled Waste Water</v>
      </c>
      <c r="I73" s="536"/>
      <c r="J73" s="45"/>
      <c r="K73" s="12"/>
    </row>
    <row r="74" spans="2:11" x14ac:dyDescent="0.2">
      <c r="B74" s="1412"/>
      <c r="C74" s="556"/>
      <c r="D74" s="654" t="s">
        <v>689</v>
      </c>
      <c r="E74" s="124" t="s">
        <v>670</v>
      </c>
      <c r="F74" s="547" t="e">
        <f>RapidPotentialProduction*F61/RapidRefVolume</f>
        <v>#DIV/0!</v>
      </c>
      <c r="G74" s="549" t="e">
        <f>(RapidPotentialProduction*G61/RapidRefVolume)*(1/2000)</f>
        <v>#DIV/0!</v>
      </c>
      <c r="H74" s="547" t="e">
        <f>RapidReplaceableProduction*H61/RapidRefVolumeBenchmark</f>
        <v>#DIV/0!</v>
      </c>
      <c r="I74" s="549" t="e">
        <f>(RapidReplaceableProduction*I61/RapidRefVolumeBenchmark)*(1/2000)</f>
        <v>#DIV/0!</v>
      </c>
      <c r="J74" s="45"/>
      <c r="K74" s="12"/>
    </row>
    <row r="75" spans="2:11" x14ac:dyDescent="0.2">
      <c r="B75" s="1412"/>
      <c r="C75" s="556"/>
      <c r="D75" s="193"/>
      <c r="E75" s="124" t="s">
        <v>111</v>
      </c>
      <c r="F75" s="547" t="e">
        <f>RapidPotentialProduction*F62/RapidRefVolume</f>
        <v>#DIV/0!</v>
      </c>
      <c r="G75" s="549" t="e">
        <f>(RapidPotentialProduction*G62/RapidRefVolume)*(1/2000)</f>
        <v>#DIV/0!</v>
      </c>
      <c r="H75" s="547" t="e">
        <f>RapidReplaceableProduction*H62/RapidRefVolumeBenchmark</f>
        <v>#DIV/0!</v>
      </c>
      <c r="I75" s="549" t="e">
        <f>(RapidReplaceableProduction*I62/RapidRefVolumeBenchmark)*(1/2000)</f>
        <v>#DIV/0!</v>
      </c>
      <c r="J75" s="45"/>
      <c r="K75" s="12"/>
    </row>
    <row r="76" spans="2:11" x14ac:dyDescent="0.2">
      <c r="B76" s="1412"/>
      <c r="C76" s="556"/>
      <c r="D76" s="193" t="s">
        <v>813</v>
      </c>
      <c r="E76" s="124" t="s">
        <v>693</v>
      </c>
      <c r="F76" s="491"/>
      <c r="G76" s="550"/>
      <c r="H76" s="541"/>
      <c r="I76" s="552"/>
      <c r="J76" s="45"/>
      <c r="K76" s="12"/>
    </row>
    <row r="77" spans="2:11" x14ac:dyDescent="0.2">
      <c r="B77" s="1412"/>
      <c r="C77" s="556"/>
      <c r="D77" s="124" t="s">
        <v>371</v>
      </c>
      <c r="E77" s="124" t="s">
        <v>814</v>
      </c>
      <c r="F77" s="548" t="e">
        <f>SUM(F74:F76)</f>
        <v>#DIV/0!</v>
      </c>
      <c r="G77" s="551" t="e">
        <f>SUM(G74:G76)</f>
        <v>#DIV/0!</v>
      </c>
      <c r="H77" s="548" t="e">
        <f>SUM(H74:H76)</f>
        <v>#DIV/0!</v>
      </c>
      <c r="I77" s="551" t="e">
        <f>SUM(I74:I76)</f>
        <v>#DIV/0!</v>
      </c>
      <c r="J77" s="45"/>
      <c r="K77" s="12"/>
    </row>
    <row r="78" spans="2:11" ht="15" customHeight="1" x14ac:dyDescent="0.2">
      <c r="B78" s="84"/>
      <c r="C78" s="556"/>
      <c r="D78" s="1410" t="s">
        <v>815</v>
      </c>
      <c r="E78" s="1410"/>
      <c r="F78" s="1410"/>
      <c r="G78" s="1410"/>
      <c r="H78" s="1410"/>
      <c r="I78" s="1410"/>
      <c r="J78" s="45"/>
      <c r="K78" s="12"/>
    </row>
    <row r="79" spans="2:11" x14ac:dyDescent="0.2">
      <c r="B79" s="88"/>
      <c r="C79" s="594"/>
      <c r="D79" s="595"/>
      <c r="E79" s="595"/>
      <c r="F79" s="595"/>
      <c r="G79" s="595"/>
      <c r="H79" s="595"/>
      <c r="I79" s="595"/>
      <c r="J79" s="89"/>
      <c r="K79" s="90"/>
    </row>
    <row r="80" spans="2:11" ht="18" x14ac:dyDescent="0.2">
      <c r="B80" s="144" t="s">
        <v>122</v>
      </c>
      <c r="C80" s="145"/>
      <c r="D80" s="145"/>
      <c r="E80" s="145"/>
      <c r="F80" s="145"/>
      <c r="G80" s="145"/>
      <c r="H80" s="145"/>
      <c r="I80" s="145"/>
      <c r="J80" s="145"/>
      <c r="K80" s="97"/>
    </row>
    <row r="81" spans="2:11" ht="18" x14ac:dyDescent="0.2">
      <c r="B81" s="603"/>
      <c r="C81" s="597"/>
      <c r="D81" s="597"/>
      <c r="E81" s="597"/>
      <c r="F81" s="597"/>
      <c r="G81" s="597"/>
      <c r="H81" s="597"/>
      <c r="I81" s="597"/>
      <c r="J81" s="597"/>
      <c r="K81" s="12"/>
    </row>
    <row r="82" spans="2:11" ht="15" customHeight="1" x14ac:dyDescent="0.2">
      <c r="B82" s="1145" t="s">
        <v>123</v>
      </c>
      <c r="C82" s="1207"/>
      <c r="D82" s="1208"/>
      <c r="E82" s="1208"/>
      <c r="F82" s="1208"/>
      <c r="G82" s="1208"/>
      <c r="H82" s="1208"/>
      <c r="I82" s="1209"/>
      <c r="J82" s="647"/>
      <c r="K82" s="25"/>
    </row>
    <row r="83" spans="2:11" x14ac:dyDescent="0.2">
      <c r="B83" s="1145"/>
      <c r="C83" s="1207"/>
      <c r="D83" s="1208"/>
      <c r="E83" s="1208"/>
      <c r="F83" s="1208"/>
      <c r="G83" s="1208"/>
      <c r="H83" s="1208"/>
      <c r="I83" s="1209"/>
      <c r="J83" s="647"/>
      <c r="K83" s="25"/>
    </row>
    <row r="84" spans="2:11" x14ac:dyDescent="0.2">
      <c r="B84" s="1145"/>
      <c r="C84" s="1207"/>
      <c r="D84" s="1208"/>
      <c r="E84" s="1208"/>
      <c r="F84" s="1208"/>
      <c r="G84" s="1208"/>
      <c r="H84" s="1208"/>
      <c r="I84" s="1209"/>
      <c r="J84" s="647"/>
      <c r="K84" s="25"/>
    </row>
    <row r="85" spans="2:11" x14ac:dyDescent="0.2">
      <c r="B85" s="1145"/>
      <c r="C85" s="1207"/>
      <c r="D85" s="1208"/>
      <c r="E85" s="1208"/>
      <c r="F85" s="1208"/>
      <c r="G85" s="1208"/>
      <c r="H85" s="1208"/>
      <c r="I85" s="1209"/>
      <c r="J85" s="647"/>
      <c r="K85" s="25"/>
    </row>
    <row r="86" spans="2:11" x14ac:dyDescent="0.2">
      <c r="B86" s="1145"/>
      <c r="C86" s="1207"/>
      <c r="D86" s="1208"/>
      <c r="E86" s="1208"/>
      <c r="F86" s="1208"/>
      <c r="G86" s="1208"/>
      <c r="H86" s="1208"/>
      <c r="I86" s="1209"/>
      <c r="J86" s="647"/>
      <c r="K86" s="25"/>
    </row>
    <row r="87" spans="2:11" x14ac:dyDescent="0.2">
      <c r="B87" s="2"/>
      <c r="C87" s="3"/>
      <c r="D87" s="3"/>
      <c r="E87" s="3"/>
      <c r="F87" s="3"/>
      <c r="G87" s="3"/>
      <c r="H87" s="3"/>
      <c r="I87" s="3"/>
      <c r="J87" s="3"/>
      <c r="K87" s="90"/>
    </row>
    <row r="88" spans="2:11" ht="18" x14ac:dyDescent="0.2">
      <c r="B88" s="144" t="s">
        <v>170</v>
      </c>
      <c r="C88" s="145"/>
      <c r="D88" s="145"/>
      <c r="E88" s="145"/>
      <c r="F88" s="145"/>
      <c r="G88" s="145"/>
      <c r="H88" s="145"/>
      <c r="I88" s="145"/>
      <c r="J88" s="145"/>
      <c r="K88" s="146"/>
    </row>
    <row r="89" spans="2:11" ht="18" x14ac:dyDescent="0.2">
      <c r="B89" s="7" t="s">
        <v>171</v>
      </c>
      <c r="C89" s="597"/>
      <c r="D89" s="597"/>
      <c r="E89" s="597"/>
      <c r="F89" s="597"/>
      <c r="G89" s="597"/>
      <c r="H89" s="597"/>
      <c r="I89" s="597"/>
      <c r="J89" s="597"/>
      <c r="K89" s="6"/>
    </row>
    <row r="90" spans="2:11" x14ac:dyDescent="0.2">
      <c r="B90" s="84"/>
      <c r="C90" s="556"/>
      <c r="D90" s="672"/>
      <c r="E90" s="672"/>
      <c r="F90" s="672"/>
      <c r="G90" s="672"/>
      <c r="H90" s="672"/>
      <c r="I90" s="672"/>
      <c r="J90" s="45"/>
      <c r="K90" s="12"/>
    </row>
    <row r="91" spans="2:11" x14ac:dyDescent="0.2">
      <c r="B91" s="84"/>
      <c r="C91" s="556"/>
      <c r="D91" s="672"/>
      <c r="E91" s="672"/>
      <c r="F91" s="672"/>
      <c r="G91" s="672"/>
      <c r="H91" s="672"/>
      <c r="I91" s="672"/>
      <c r="J91" s="45"/>
      <c r="K91" s="12"/>
    </row>
    <row r="92" spans="2:11" x14ac:dyDescent="0.2">
      <c r="B92" s="84"/>
      <c r="C92" s="556"/>
      <c r="D92" s="672"/>
      <c r="E92" s="672"/>
      <c r="F92" s="672"/>
      <c r="G92" s="672"/>
      <c r="H92" s="672"/>
      <c r="I92" s="672"/>
      <c r="J92" s="45"/>
      <c r="K92" s="12"/>
    </row>
    <row r="93" spans="2:11" x14ac:dyDescent="0.2">
      <c r="B93" s="84"/>
      <c r="C93" s="556"/>
      <c r="D93" s="672"/>
      <c r="E93" s="672"/>
      <c r="F93" s="672"/>
      <c r="G93" s="672"/>
      <c r="H93" s="672"/>
      <c r="I93" s="672"/>
      <c r="J93" s="45"/>
      <c r="K93" s="12"/>
    </row>
    <row r="94" spans="2:11" x14ac:dyDescent="0.2">
      <c r="B94" s="84"/>
      <c r="C94" s="556"/>
      <c r="D94" s="672"/>
      <c r="E94" s="672"/>
      <c r="F94" s="672"/>
      <c r="G94" s="672"/>
      <c r="H94" s="672"/>
      <c r="I94" s="672"/>
      <c r="J94" s="45"/>
      <c r="K94" s="12"/>
    </row>
    <row r="95" spans="2:11" x14ac:dyDescent="0.2">
      <c r="B95" s="84"/>
      <c r="C95" s="556"/>
      <c r="D95" s="672"/>
      <c r="E95" s="672"/>
      <c r="F95" s="672"/>
      <c r="G95" s="672"/>
      <c r="H95" s="672"/>
      <c r="I95" s="672"/>
      <c r="J95" s="45"/>
      <c r="K95" s="12"/>
    </row>
    <row r="96" spans="2:11" x14ac:dyDescent="0.2">
      <c r="B96" s="84"/>
      <c r="C96" s="556"/>
      <c r="D96" s="672"/>
      <c r="E96" s="672"/>
      <c r="F96" s="672"/>
      <c r="G96" s="672"/>
      <c r="H96" s="672"/>
      <c r="I96" s="672"/>
      <c r="J96" s="45"/>
      <c r="K96" s="12"/>
    </row>
    <row r="97" spans="2:11" x14ac:dyDescent="0.2">
      <c r="B97" s="84"/>
      <c r="C97" s="556"/>
      <c r="D97" s="672"/>
      <c r="E97" s="672"/>
      <c r="F97" s="672"/>
      <c r="G97" s="672"/>
      <c r="H97" s="672"/>
      <c r="I97" s="672"/>
      <c r="J97" s="45"/>
      <c r="K97" s="12"/>
    </row>
    <row r="98" spans="2:11" x14ac:dyDescent="0.2">
      <c r="B98" s="84"/>
      <c r="C98" s="556"/>
      <c r="D98" s="672"/>
      <c r="E98" s="672"/>
      <c r="F98" s="672"/>
      <c r="G98" s="672"/>
      <c r="H98" s="672"/>
      <c r="I98" s="672"/>
      <c r="J98" s="45"/>
      <c r="K98" s="12"/>
    </row>
    <row r="99" spans="2:11" x14ac:dyDescent="0.2">
      <c r="B99" s="84"/>
      <c r="C99" s="556"/>
      <c r="D99" s="672"/>
      <c r="E99" s="672"/>
      <c r="F99" s="672"/>
      <c r="G99" s="672"/>
      <c r="H99" s="672"/>
      <c r="I99" s="672"/>
      <c r="J99" s="45"/>
      <c r="K99" s="12"/>
    </row>
    <row r="100" spans="2:11" x14ac:dyDescent="0.2">
      <c r="B100" s="84"/>
      <c r="C100" s="556"/>
      <c r="D100" s="672"/>
      <c r="E100" s="672"/>
      <c r="F100" s="672"/>
      <c r="G100" s="672"/>
      <c r="H100" s="672"/>
      <c r="I100" s="672"/>
      <c r="J100" s="45"/>
      <c r="K100" s="12"/>
    </row>
    <row r="101" spans="2:11" x14ac:dyDescent="0.2">
      <c r="B101" s="84"/>
      <c r="C101" s="556"/>
      <c r="D101" s="672"/>
      <c r="E101" s="672"/>
      <c r="F101" s="672"/>
      <c r="G101" s="672"/>
      <c r="H101" s="672"/>
      <c r="I101" s="672"/>
      <c r="J101" s="45"/>
      <c r="K101" s="12"/>
    </row>
    <row r="102" spans="2:11" x14ac:dyDescent="0.2">
      <c r="B102" s="84"/>
      <c r="C102" s="556"/>
      <c r="D102" s="672"/>
      <c r="E102" s="672"/>
      <c r="F102" s="672"/>
      <c r="G102" s="672"/>
      <c r="H102" s="672"/>
      <c r="I102" s="672"/>
      <c r="J102" s="45"/>
      <c r="K102" s="12"/>
    </row>
    <row r="103" spans="2:11" x14ac:dyDescent="0.2">
      <c r="B103" s="88"/>
      <c r="C103" s="89"/>
      <c r="D103" s="89"/>
      <c r="E103" s="89"/>
      <c r="F103" s="89"/>
      <c r="G103" s="89"/>
      <c r="H103" s="89"/>
      <c r="I103" s="89"/>
      <c r="J103" s="89"/>
      <c r="K103" s="90"/>
    </row>
    <row r="104" spans="2:11" x14ac:dyDescent="0.2">
      <c r="B104" s="1206" t="s">
        <v>124</v>
      </c>
      <c r="C104" s="1169"/>
      <c r="D104" s="1170"/>
      <c r="J104" s="236" t="s">
        <v>816</v>
      </c>
      <c r="K104" s="465"/>
    </row>
  </sheetData>
  <mergeCells count="21">
    <mergeCell ref="B104:D104"/>
    <mergeCell ref="C82:I82"/>
    <mergeCell ref="C83:I83"/>
    <mergeCell ref="C84:I84"/>
    <mergeCell ref="C85:I85"/>
    <mergeCell ref="C86:I86"/>
    <mergeCell ref="B82:B86"/>
    <mergeCell ref="B11:B13"/>
    <mergeCell ref="B25:B29"/>
    <mergeCell ref="B36:B40"/>
    <mergeCell ref="B1:J1"/>
    <mergeCell ref="B2:J2"/>
    <mergeCell ref="B3:J3"/>
    <mergeCell ref="B17:B22"/>
    <mergeCell ref="B5:I5"/>
    <mergeCell ref="B8:I8"/>
    <mergeCell ref="D78:I78"/>
    <mergeCell ref="B56:B61"/>
    <mergeCell ref="B69:B77"/>
    <mergeCell ref="D26:H26"/>
    <mergeCell ref="D27:H27"/>
  </mergeCells>
  <hyperlinks>
    <hyperlink ref="B6" location="'Project Basics &amp; Benchmarks'!A1" display="Project Basics and Benchmarks (Tier 1)" xr:uid="{F1904347-A818-4F89-AE77-2FC384656232}"/>
    <hyperlink ref="B7" location="Metrics!A1" display="Performance Metrics (Tier 1)" xr:uid="{4F10B76A-27AC-4999-9EB6-D9738D2C3383}"/>
    <hyperlink ref="D65" location="'MFI Embodied Energy Mini-Tool'!A1" display="Calculator Tool: Extracting Embodied Energy &amp; Carbon from MFI" xr:uid="{70533058-F6FF-4BF0-BC60-3503F462948B}"/>
    <hyperlink ref="D67" location="'GWP Ref Tables'!A1" display="Reference Data: Global Warming Potentials" xr:uid="{2ED941B0-EE5C-4083-8CE0-E21587432DFE}"/>
    <hyperlink ref="B104:D104" location="FullDataLanding" display="Return to Home Page" xr:uid="{15E033E4-0823-4002-807B-C03F80833286}"/>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69AC6-0868-478E-B09F-E2E489196665}">
  <sheetPr>
    <tabColor rgb="FF990033"/>
    <pageSetUpPr fitToPage="1"/>
  </sheetPr>
  <dimension ref="A1:Q74"/>
  <sheetViews>
    <sheetView showGridLines="0" workbookViewId="0">
      <selection activeCell="E29" sqref="E29"/>
    </sheetView>
  </sheetViews>
  <sheetFormatPr baseColWidth="10" defaultColWidth="8.83203125" defaultRowHeight="15" x14ac:dyDescent="0.2"/>
  <cols>
    <col min="1" max="1" width="2.6640625" customWidth="1"/>
    <col min="2" max="2" width="22.6640625" customWidth="1"/>
    <col min="3" max="3" width="25.6640625" customWidth="1"/>
    <col min="4" max="10" width="22.6640625" customWidth="1"/>
    <col min="11" max="11" width="23.5" customWidth="1"/>
    <col min="12" max="12" width="24.6640625" customWidth="1"/>
    <col min="13" max="13" width="22.6640625" customWidth="1"/>
    <col min="14" max="14" width="25.6640625" customWidth="1"/>
    <col min="15" max="16" width="22.6640625" customWidth="1"/>
    <col min="17" max="17" width="2.6640625" customWidth="1"/>
  </cols>
  <sheetData>
    <row r="1" spans="1:17" ht="15.75" customHeight="1" x14ac:dyDescent="0.2">
      <c r="A1" s="5"/>
      <c r="B1" s="1159" t="s">
        <v>0</v>
      </c>
      <c r="C1" s="1160"/>
      <c r="D1" s="1160"/>
      <c r="E1" s="1160"/>
      <c r="F1" s="1160"/>
      <c r="G1" s="1160"/>
      <c r="H1" s="1160"/>
      <c r="I1" s="1160"/>
      <c r="J1" s="1160"/>
      <c r="K1" s="1160"/>
      <c r="L1" s="1160"/>
      <c r="M1" s="1160"/>
      <c r="N1" s="645"/>
      <c r="O1" s="645"/>
      <c r="P1" s="645"/>
      <c r="Q1" s="665"/>
    </row>
    <row r="2" spans="1:17" ht="21" customHeight="1" x14ac:dyDescent="0.2">
      <c r="A2" s="5"/>
      <c r="B2" s="1161" t="s">
        <v>1</v>
      </c>
      <c r="C2" s="1162"/>
      <c r="D2" s="1162"/>
      <c r="E2" s="1162"/>
      <c r="F2" s="1162"/>
      <c r="G2" s="1162"/>
      <c r="H2" s="1162"/>
      <c r="I2" s="1162"/>
      <c r="J2" s="1162"/>
      <c r="K2" s="1162"/>
      <c r="L2" s="1162"/>
      <c r="M2" s="1162"/>
      <c r="N2" s="1253"/>
      <c r="O2" s="1253"/>
      <c r="P2" s="963"/>
      <c r="Q2" s="1065"/>
    </row>
    <row r="3" spans="1:17" ht="18" x14ac:dyDescent="0.2">
      <c r="A3" s="5"/>
      <c r="B3" s="1297" t="str">
        <f>IF(RapidAnnualProd="","Please Refer to the other Summary Tables Tab for TECHTEST Results","Results Summary Tables (Method 2 - Rapid Data Entry)")</f>
        <v>Please Refer to the other Summary Tables Tab for TECHTEST Results</v>
      </c>
      <c r="C3" s="1164"/>
      <c r="D3" s="1164"/>
      <c r="E3" s="1164"/>
      <c r="F3" s="1164"/>
      <c r="G3" s="1164"/>
      <c r="H3" s="1164"/>
      <c r="I3" s="1164"/>
      <c r="J3" s="1164"/>
      <c r="K3" s="1164"/>
      <c r="L3" s="1164"/>
      <c r="M3" s="1164"/>
      <c r="N3" s="644"/>
      <c r="O3" s="644"/>
      <c r="P3" s="644"/>
      <c r="Q3" s="648"/>
    </row>
    <row r="4" spans="1:17" ht="18" x14ac:dyDescent="0.2">
      <c r="A4" s="5"/>
      <c r="B4" s="603"/>
      <c r="C4" s="597"/>
      <c r="D4" s="597"/>
      <c r="E4" s="597"/>
      <c r="F4" s="597"/>
      <c r="G4" s="597"/>
      <c r="H4" s="597"/>
      <c r="I4" s="597"/>
      <c r="J4" s="597"/>
      <c r="K4" s="597"/>
      <c r="L4" s="597"/>
      <c r="M4" s="597"/>
      <c r="N4" s="597"/>
      <c r="O4" s="597"/>
      <c r="P4" s="597"/>
      <c r="Q4" s="6"/>
    </row>
    <row r="5" spans="1:17" ht="32.25" customHeight="1" x14ac:dyDescent="0.2">
      <c r="A5" s="5"/>
      <c r="B5" s="1188" t="s">
        <v>817</v>
      </c>
      <c r="C5" s="1189"/>
      <c r="D5" s="1189"/>
      <c r="E5" s="1189"/>
      <c r="F5" s="1189"/>
      <c r="G5" s="1189"/>
      <c r="H5" s="1189"/>
      <c r="I5" s="1189"/>
      <c r="J5" s="1189"/>
      <c r="K5" s="1189"/>
      <c r="L5" s="1189"/>
      <c r="M5" s="1189"/>
      <c r="N5" s="647"/>
      <c r="O5" s="647"/>
      <c r="P5" s="647"/>
      <c r="Q5" s="6"/>
    </row>
    <row r="6" spans="1:17" x14ac:dyDescent="0.2">
      <c r="B6" s="100" t="s">
        <v>636</v>
      </c>
      <c r="C6" s="650" t="s">
        <v>52</v>
      </c>
      <c r="D6" s="184" t="str">
        <f>Project_Title</f>
        <v>Waste Heat Recovery Cooling in Beverage Manufacturing</v>
      </c>
      <c r="E6" s="185"/>
      <c r="F6" s="185"/>
      <c r="G6" s="185"/>
      <c r="H6" s="186"/>
      <c r="I6" s="21"/>
      <c r="J6" s="21"/>
      <c r="K6" s="21"/>
      <c r="L6" s="21"/>
      <c r="M6" s="21"/>
      <c r="N6" s="21"/>
      <c r="O6" s="21"/>
      <c r="P6" s="21"/>
      <c r="Q6" s="26"/>
    </row>
    <row r="7" spans="1:17" x14ac:dyDescent="0.2">
      <c r="B7" s="100"/>
      <c r="C7" s="650" t="s">
        <v>54</v>
      </c>
      <c r="D7" s="194" t="str">
        <f>Project_Lead</f>
        <v>Hypothetical Organization</v>
      </c>
      <c r="E7" s="195"/>
      <c r="F7" s="195"/>
      <c r="G7" s="195"/>
      <c r="H7" s="196"/>
      <c r="I7" s="21"/>
      <c r="J7" s="21"/>
      <c r="K7" s="21"/>
      <c r="L7" s="21"/>
      <c r="M7" s="21"/>
      <c r="N7" s="21"/>
      <c r="O7" s="21"/>
      <c r="P7" s="21"/>
      <c r="Q7" s="26"/>
    </row>
    <row r="8" spans="1:17" x14ac:dyDescent="0.2">
      <c r="B8" s="38"/>
      <c r="C8" s="650" t="s">
        <v>56</v>
      </c>
      <c r="D8" s="194" t="str">
        <f>Project_Collaborators</f>
        <v>Staff</v>
      </c>
      <c r="E8" s="195"/>
      <c r="F8" s="195"/>
      <c r="G8" s="195"/>
      <c r="H8" s="196"/>
      <c r="I8" s="21"/>
      <c r="J8" s="21"/>
      <c r="K8" s="21"/>
      <c r="L8" s="21"/>
      <c r="M8" s="21"/>
      <c r="N8" s="21"/>
      <c r="O8" s="21"/>
      <c r="P8" s="21"/>
      <c r="Q8" s="26"/>
    </row>
    <row r="9" spans="1:17" x14ac:dyDescent="0.2">
      <c r="B9" s="38"/>
      <c r="C9" s="650" t="s">
        <v>637</v>
      </c>
      <c r="D9" s="194" t="str">
        <f>Project_PI&amp;", "&amp;Project_PI_Org</f>
        <v>John Doe, Hypotentical National Laboratory</v>
      </c>
      <c r="E9" s="195"/>
      <c r="F9" s="195"/>
      <c r="G9" s="195"/>
      <c r="H9" s="196"/>
      <c r="I9" s="21"/>
      <c r="J9" s="21"/>
      <c r="K9" s="21"/>
      <c r="L9" s="21"/>
      <c r="M9" s="21"/>
      <c r="N9" s="21"/>
      <c r="O9" s="21"/>
      <c r="P9" s="21"/>
      <c r="Q9" s="26"/>
    </row>
    <row r="10" spans="1:17" x14ac:dyDescent="0.2">
      <c r="B10" s="38"/>
      <c r="C10" s="650" t="s">
        <v>818</v>
      </c>
      <c r="D10" s="184" t="e">
        <f>MYPP_Area</f>
        <v>#REF!</v>
      </c>
      <c r="E10" s="185"/>
      <c r="F10" s="185"/>
      <c r="G10" s="185"/>
      <c r="H10" s="186"/>
      <c r="I10" s="21"/>
      <c r="J10" s="21"/>
      <c r="K10" s="21"/>
      <c r="L10" s="21"/>
      <c r="M10" s="21"/>
      <c r="N10" s="21"/>
      <c r="O10" s="21"/>
      <c r="P10" s="21"/>
      <c r="Q10" s="26"/>
    </row>
    <row r="11" spans="1:17" x14ac:dyDescent="0.2">
      <c r="B11" s="38"/>
      <c r="C11" s="650" t="s">
        <v>62</v>
      </c>
      <c r="D11" s="187" t="str">
        <f>AMO_TM</f>
        <v>Jane Doe</v>
      </c>
      <c r="E11" s="188"/>
      <c r="F11" s="188"/>
      <c r="G11" s="188"/>
      <c r="H11" s="189"/>
      <c r="I11" s="21"/>
      <c r="J11" s="21"/>
      <c r="K11" s="21"/>
      <c r="L11" s="21"/>
      <c r="M11" s="21"/>
      <c r="N11" s="21"/>
      <c r="O11" s="21"/>
      <c r="P11" s="21"/>
      <c r="Q11" s="26"/>
    </row>
    <row r="12" spans="1:17" x14ac:dyDescent="0.2">
      <c r="B12" s="180"/>
      <c r="C12" s="650" t="s">
        <v>638</v>
      </c>
      <c r="D12" s="200" t="str">
        <f>TEXT(Project_Start,"[$-en-US]mmmm yyyy;@")&amp;" to "&amp;TEXT(Project_End,"[$-en-US]mmmm yyyy;@")</f>
        <v>January 2023 to January 2025</v>
      </c>
      <c r="E12" s="197"/>
      <c r="F12" s="197"/>
      <c r="G12" s="188"/>
      <c r="H12" s="189"/>
      <c r="I12" s="21"/>
      <c r="J12" s="21"/>
      <c r="K12" s="21"/>
      <c r="L12" s="21"/>
      <c r="M12" s="21"/>
      <c r="N12" s="21"/>
      <c r="O12" s="21"/>
      <c r="P12" s="21"/>
      <c r="Q12" s="26"/>
    </row>
    <row r="13" spans="1:17" x14ac:dyDescent="0.2">
      <c r="B13" s="180"/>
      <c r="C13" s="650" t="s">
        <v>66</v>
      </c>
      <c r="D13" s="187" t="str">
        <f>Funding_Mech</f>
        <v>R&amp;D Project</v>
      </c>
      <c r="E13" s="188"/>
      <c r="F13" s="188"/>
      <c r="G13" s="188"/>
      <c r="H13" s="189"/>
      <c r="I13" s="21"/>
      <c r="J13" s="21"/>
      <c r="K13" s="21"/>
      <c r="L13" s="21"/>
      <c r="M13" s="21"/>
      <c r="N13" s="21"/>
      <c r="O13" s="21"/>
      <c r="P13" s="21"/>
      <c r="Q13" s="26"/>
    </row>
    <row r="14" spans="1:17" x14ac:dyDescent="0.2">
      <c r="B14" s="180"/>
      <c r="C14" s="150"/>
      <c r="D14" s="21"/>
      <c r="E14" s="21"/>
      <c r="G14" s="21"/>
      <c r="H14" s="182" t="str">
        <f ca="1">IF(Project_Start&lt;&gt;"",IF(Project_Start&lt;TODAY(),IF(Project_End+30&gt;TODAY(),"Status: Project Underway","Status: Project Complete"),"Status: Future Project"),"")</f>
        <v>Status: Project Complete</v>
      </c>
      <c r="I14" s="21"/>
      <c r="K14" s="21"/>
      <c r="L14" s="21"/>
      <c r="M14" s="21"/>
      <c r="N14" s="21"/>
      <c r="O14" s="21"/>
      <c r="P14" s="21"/>
      <c r="Q14" s="26"/>
    </row>
    <row r="15" spans="1:17" x14ac:dyDescent="0.2">
      <c r="B15" s="100" t="s">
        <v>639</v>
      </c>
      <c r="C15" s="650" t="s">
        <v>640</v>
      </c>
      <c r="D15" s="184" t="str">
        <f>RapidProduct</f>
        <v>Cooled Waste Water</v>
      </c>
      <c r="E15" s="185"/>
      <c r="F15" s="185"/>
      <c r="G15" s="185"/>
      <c r="H15" s="186"/>
      <c r="I15" s="21"/>
      <c r="J15" s="21"/>
      <c r="K15" s="21"/>
      <c r="L15" s="21"/>
      <c r="M15" s="21"/>
      <c r="N15" s="21"/>
      <c r="O15" s="21"/>
      <c r="P15" s="21"/>
      <c r="Q15" s="26"/>
    </row>
    <row r="16" spans="1:17" x14ac:dyDescent="0.2">
      <c r="B16" s="100"/>
      <c r="C16" s="650" t="s">
        <v>641</v>
      </c>
      <c r="D16" s="287">
        <f>RapidAnnualProd</f>
        <v>0</v>
      </c>
      <c r="E16" s="289">
        <f>RapidAnnualProdUnits</f>
        <v>0</v>
      </c>
      <c r="F16" s="188"/>
      <c r="G16" s="188"/>
      <c r="H16" s="189"/>
      <c r="I16" s="21"/>
      <c r="J16" s="21"/>
      <c r="K16" s="21"/>
      <c r="L16" s="21"/>
      <c r="M16" s="21"/>
      <c r="N16" s="21"/>
      <c r="O16" s="21"/>
      <c r="P16" s="21"/>
      <c r="Q16" s="26"/>
    </row>
    <row r="17" spans="2:17" ht="28" x14ac:dyDescent="0.2">
      <c r="B17" s="100"/>
      <c r="C17" s="650" t="s">
        <v>642</v>
      </c>
      <c r="D17" s="288">
        <f>RapidReplaceableProduction</f>
        <v>0</v>
      </c>
      <c r="E17" s="289">
        <f>RapidAnnualProdUnits</f>
        <v>0</v>
      </c>
      <c r="F17" s="289" t="str">
        <f>"(assuming replacement of "&amp;TEXT(RapidPotentialMarketShare,"0%")&amp;" of the end-use market)"</f>
        <v>(assuming replacement of 0% of the end-use market)</v>
      </c>
      <c r="G17" s="188"/>
      <c r="H17" s="189"/>
      <c r="I17" s="21"/>
      <c r="J17" s="21"/>
      <c r="K17" s="21"/>
      <c r="L17" s="21"/>
      <c r="M17" s="21"/>
      <c r="N17" s="21"/>
      <c r="O17" s="21"/>
      <c r="P17" s="21"/>
      <c r="Q17" s="26"/>
    </row>
    <row r="18" spans="2:17" ht="28" x14ac:dyDescent="0.2">
      <c r="B18" s="100"/>
      <c r="C18" s="650" t="s">
        <v>643</v>
      </c>
      <c r="D18" s="288" t="e">
        <f>ReplaceableProduction*RapidRefVolume/RapidRefVolumeBenchmark</f>
        <v>#DIV/0!</v>
      </c>
      <c r="E18" s="289">
        <f>RapidAnnualProdUnits</f>
        <v>0</v>
      </c>
      <c r="F18" s="289" t="s">
        <v>644</v>
      </c>
      <c r="G18" s="188"/>
      <c r="H18" s="189"/>
      <c r="I18" s="21"/>
      <c r="J18" s="21"/>
      <c r="K18" s="21"/>
      <c r="L18" s="21"/>
      <c r="M18" s="21"/>
      <c r="N18" s="21"/>
      <c r="O18" s="21"/>
      <c r="P18" s="21"/>
      <c r="Q18" s="26"/>
    </row>
    <row r="19" spans="2:17" x14ac:dyDescent="0.2">
      <c r="B19" s="38"/>
      <c r="C19" s="21"/>
      <c r="D19" s="21"/>
      <c r="E19" s="21"/>
      <c r="F19" s="21"/>
      <c r="G19" s="21"/>
      <c r="H19" s="21"/>
      <c r="I19" s="21"/>
      <c r="J19" s="21"/>
      <c r="K19" s="21"/>
      <c r="L19" s="21"/>
      <c r="M19" s="21"/>
      <c r="N19" s="21"/>
      <c r="O19" s="21"/>
      <c r="P19" s="21"/>
      <c r="Q19" s="26"/>
    </row>
    <row r="20" spans="2:17" ht="29" x14ac:dyDescent="0.2">
      <c r="B20" s="100" t="s">
        <v>645</v>
      </c>
      <c r="C20" s="181"/>
      <c r="D20" s="596" t="s">
        <v>646</v>
      </c>
      <c r="E20" s="596" t="s">
        <v>647</v>
      </c>
      <c r="F20" s="596" t="s">
        <v>648</v>
      </c>
      <c r="G20" s="596" t="s">
        <v>649</v>
      </c>
      <c r="H20" s="596" t="s">
        <v>650</v>
      </c>
      <c r="I20" s="673"/>
      <c r="J20" s="45"/>
      <c r="K20" s="21"/>
      <c r="L20" s="21"/>
      <c r="M20" s="21"/>
      <c r="N20" s="21"/>
      <c r="O20" s="21"/>
      <c r="P20" s="21"/>
      <c r="Q20" s="26"/>
    </row>
    <row r="21" spans="2:17" ht="28" x14ac:dyDescent="0.2">
      <c r="B21" s="38"/>
      <c r="C21" s="183" t="s">
        <v>651</v>
      </c>
      <c r="D21" s="190">
        <f>RpaidNewTech</f>
        <v>0</v>
      </c>
      <c r="E21" s="190">
        <f>'Rapid Data Input (Method 2)'!F18</f>
        <v>0</v>
      </c>
      <c r="F21" s="190">
        <f>'Rapid Data Input (Method 2)'!G18</f>
        <v>0</v>
      </c>
      <c r="G21" s="191">
        <f>'Rapid Data Input (Method 2)'!H18</f>
        <v>0</v>
      </c>
      <c r="H21" s="191">
        <f>RapidPotentialMarketShare</f>
        <v>0</v>
      </c>
      <c r="I21" s="199"/>
      <c r="J21" s="45"/>
      <c r="K21" s="21"/>
      <c r="L21" s="21"/>
      <c r="M21" s="21"/>
      <c r="N21" s="21"/>
      <c r="O21" s="21"/>
      <c r="P21" s="21"/>
      <c r="Q21" s="26"/>
    </row>
    <row r="22" spans="2:17" ht="28" x14ac:dyDescent="0.2">
      <c r="B22" s="38"/>
      <c r="C22" s="183" t="s">
        <v>652</v>
      </c>
      <c r="D22" s="190">
        <f>RapidBenchmarkTech</f>
        <v>0</v>
      </c>
      <c r="E22" s="190">
        <f>'Rapid Data Input (Method 2)'!F19</f>
        <v>0</v>
      </c>
      <c r="F22" s="190">
        <f>'Rapid Data Input (Method 2)'!G19</f>
        <v>0</v>
      </c>
      <c r="G22" s="191">
        <f>'Rapid Data Input (Method 2)'!H19</f>
        <v>0</v>
      </c>
      <c r="H22" s="191">
        <f>'Rapid Data Input (Method 2)'!I19</f>
        <v>0</v>
      </c>
      <c r="I22" s="199"/>
      <c r="J22" s="45"/>
      <c r="K22" s="21"/>
      <c r="L22" s="21"/>
      <c r="M22" s="21"/>
      <c r="N22" s="21"/>
      <c r="O22" s="21"/>
      <c r="P22" s="21"/>
      <c r="Q22" s="26"/>
    </row>
    <row r="23" spans="2:17" ht="28" x14ac:dyDescent="0.2">
      <c r="B23" s="38"/>
      <c r="C23" s="183" t="s">
        <v>653</v>
      </c>
      <c r="D23" s="190">
        <f>'Rapid Data Input (Method 2)'!E20</f>
        <v>0</v>
      </c>
      <c r="E23" s="190">
        <f>'Rapid Data Input (Method 2)'!F20</f>
        <v>0</v>
      </c>
      <c r="F23" s="190">
        <f>'Rapid Data Input (Method 2)'!G20</f>
        <v>0</v>
      </c>
      <c r="G23" s="191">
        <f>'Rapid Data Input (Method 2)'!H20</f>
        <v>0</v>
      </c>
      <c r="H23" s="191">
        <f>'Rapid Data Input (Method 2)'!I20</f>
        <v>0</v>
      </c>
      <c r="I23" s="199"/>
      <c r="J23" s="45"/>
      <c r="K23" s="21"/>
      <c r="L23" s="21"/>
      <c r="M23" s="21"/>
      <c r="N23" s="21"/>
      <c r="O23" s="21"/>
      <c r="P23" s="21"/>
      <c r="Q23" s="26"/>
    </row>
    <row r="24" spans="2:17" x14ac:dyDescent="0.2">
      <c r="B24" s="38"/>
      <c r="C24" s="21"/>
      <c r="D24" s="21"/>
      <c r="E24" s="21"/>
      <c r="F24" s="21"/>
      <c r="G24" s="21"/>
      <c r="H24" s="21"/>
      <c r="I24" s="21"/>
      <c r="J24" s="21"/>
      <c r="K24" s="21"/>
      <c r="L24" s="21"/>
      <c r="M24" s="21"/>
      <c r="N24" s="21"/>
      <c r="O24" s="21"/>
      <c r="P24" s="21"/>
      <c r="Q24" s="26"/>
    </row>
    <row r="25" spans="2:17" ht="18" x14ac:dyDescent="0.2">
      <c r="B25" s="144" t="s">
        <v>654</v>
      </c>
      <c r="C25" s="145"/>
      <c r="D25" s="145"/>
      <c r="E25" s="145"/>
      <c r="F25" s="145"/>
      <c r="G25" s="145"/>
      <c r="H25" s="145"/>
      <c r="I25" s="145"/>
      <c r="J25" s="145"/>
      <c r="K25" s="145"/>
      <c r="L25" s="145"/>
      <c r="M25" s="145"/>
      <c r="N25" s="64"/>
      <c r="O25" s="64"/>
      <c r="P25" s="64"/>
      <c r="Q25" s="306"/>
    </row>
    <row r="26" spans="2:17" s="50" customFormat="1" ht="14" x14ac:dyDescent="0.2">
      <c r="B26" s="147"/>
      <c r="C26" s="148"/>
      <c r="D26" s="148"/>
      <c r="E26" s="148"/>
      <c r="F26" s="148"/>
      <c r="G26" s="148"/>
      <c r="H26" s="148"/>
      <c r="I26" s="148"/>
      <c r="J26" s="148"/>
      <c r="K26" s="148"/>
      <c r="L26" s="148"/>
      <c r="M26" s="148"/>
      <c r="N26" s="21"/>
      <c r="O26" s="21"/>
      <c r="P26" s="21"/>
      <c r="Q26" s="26"/>
    </row>
    <row r="27" spans="2:17" x14ac:dyDescent="0.2">
      <c r="B27" s="301" t="s">
        <v>655</v>
      </c>
      <c r="C27" s="149"/>
      <c r="D27" s="149"/>
      <c r="E27" s="647"/>
      <c r="F27" s="647"/>
      <c r="G27" s="149" t="s">
        <v>655</v>
      </c>
      <c r="H27" s="149"/>
      <c r="I27" s="149"/>
      <c r="J27" s="647"/>
      <c r="K27" s="149"/>
      <c r="L27" s="45"/>
      <c r="M27" s="149" t="s">
        <v>655</v>
      </c>
      <c r="N27" s="149"/>
      <c r="O27" s="149"/>
      <c r="P27" s="149"/>
      <c r="Q27" s="26"/>
    </row>
    <row r="28" spans="2:17" ht="43" x14ac:dyDescent="0.2">
      <c r="B28" s="138" t="s">
        <v>656</v>
      </c>
      <c r="C28" s="45"/>
      <c r="D28" s="201" t="s">
        <v>657</v>
      </c>
      <c r="E28" s="272" t="s">
        <v>162</v>
      </c>
      <c r="F28" s="647"/>
      <c r="G28" s="284" t="s">
        <v>658</v>
      </c>
      <c r="H28" s="45"/>
      <c r="I28" s="201" t="s">
        <v>657</v>
      </c>
      <c r="J28" s="272" t="s">
        <v>162</v>
      </c>
      <c r="K28" s="272" t="s">
        <v>659</v>
      </c>
      <c r="L28" s="45"/>
      <c r="M28" s="284" t="s">
        <v>660</v>
      </c>
      <c r="N28" s="45"/>
      <c r="O28" s="201" t="s">
        <v>657</v>
      </c>
      <c r="P28" s="272" t="s">
        <v>162</v>
      </c>
      <c r="Q28" s="26"/>
    </row>
    <row r="29" spans="2:17" x14ac:dyDescent="0.2">
      <c r="B29" s="84"/>
      <c r="C29" s="443" t="s">
        <v>163</v>
      </c>
      <c r="D29" s="271">
        <f>D21</f>
        <v>0</v>
      </c>
      <c r="E29" s="273">
        <f>D22</f>
        <v>0</v>
      </c>
      <c r="F29" s="647"/>
      <c r="G29" s="45"/>
      <c r="H29" s="443" t="s">
        <v>163</v>
      </c>
      <c r="I29" s="271">
        <f>RpaidNewTech</f>
        <v>0</v>
      </c>
      <c r="J29" s="273">
        <f>RapidBenchmarkTech</f>
        <v>0</v>
      </c>
      <c r="K29" s="273">
        <f>RapidBenchmarkTech</f>
        <v>0</v>
      </c>
      <c r="L29" s="45"/>
      <c r="M29" s="45"/>
      <c r="N29" s="443" t="s">
        <v>163</v>
      </c>
      <c r="O29" s="567">
        <f>RpaidNewTech</f>
        <v>0</v>
      </c>
      <c r="P29" s="569">
        <f>RapidBenchmarkTech</f>
        <v>0</v>
      </c>
      <c r="Q29" s="26"/>
    </row>
    <row r="30" spans="2:17" x14ac:dyDescent="0.2">
      <c r="B30" s="84"/>
      <c r="C30" s="443" t="s">
        <v>175</v>
      </c>
      <c r="D30" s="280" t="str">
        <f>'Rapid Data Input (Method 2)'!F38</f>
        <v xml:space="preserve">0 </v>
      </c>
      <c r="E30" s="274" t="str">
        <f>'Rapid Data Input (Method 2)'!G38</f>
        <v xml:space="preserve">0 </v>
      </c>
      <c r="F30" s="647"/>
      <c r="G30" s="45"/>
      <c r="H30" s="443" t="s">
        <v>661</v>
      </c>
      <c r="I30" s="280" t="str">
        <f>TEXT(RapidFacilityProduction,"#,##0")&amp;" "&amp;RapidAnnualProdUnits</f>
        <v xml:space="preserve">0 </v>
      </c>
      <c r="J30" s="280" t="str">
        <f>TEXT(RapidFacilityProductionBenchmark,"#,##0")&amp;" "&amp;'Rapid Data Input (Method 2)'!E12</f>
        <v xml:space="preserve">0 </v>
      </c>
      <c r="K30" s="274" t="e">
        <f>TEXT(RapidFacilityProduction*RapidRefVolumeBenchmark/RapidRefVolume,"#,##0")&amp;" "&amp;RapidAnnualProdUnits</f>
        <v>#DIV/0!</v>
      </c>
      <c r="L30" s="45"/>
      <c r="M30" s="45"/>
      <c r="N30" s="443" t="s">
        <v>662</v>
      </c>
      <c r="O30" s="280" t="e">
        <f>TEXT(RapidPotentialProduction,"#,##0")&amp;" "&amp;RapidAnnualProdUnits</f>
        <v>#DIV/0!</v>
      </c>
      <c r="P30" s="274" t="str">
        <f>TEXT(RapidReplaceableProduction,"#,##0")&amp;" "&amp;RapidAnnualProdUnits</f>
        <v xml:space="preserve">0 </v>
      </c>
      <c r="Q30" s="26"/>
    </row>
    <row r="31" spans="2:17" x14ac:dyDescent="0.2">
      <c r="B31" s="302"/>
      <c r="C31" s="443"/>
      <c r="D31" s="208" t="str">
        <f>'Rapid Data Input (Method 2)'!F39</f>
        <v xml:space="preserve"> of Cooled Waste Water</v>
      </c>
      <c r="E31" s="279" t="str">
        <f>'Rapid Data Input (Method 2)'!G39</f>
        <v xml:space="preserve"> of Cooled Waste Water</v>
      </c>
      <c r="F31" s="647"/>
      <c r="G31" s="443"/>
      <c r="H31" s="443"/>
      <c r="I31" s="208" t="str">
        <f>" of "&amp;RapidProduct</f>
        <v xml:space="preserve"> of Cooled Waste Water</v>
      </c>
      <c r="J31" s="208" t="str">
        <f>" of "&amp;RapidProduct</f>
        <v xml:space="preserve"> of Cooled Waste Water</v>
      </c>
      <c r="K31" s="279" t="str">
        <f>" of "&amp;RapidProduct</f>
        <v xml:space="preserve"> of Cooled Waste Water</v>
      </c>
      <c r="L31" s="45"/>
      <c r="M31" s="443"/>
      <c r="N31" s="443"/>
      <c r="O31" s="208" t="str">
        <f>" of "&amp;RapidProduct</f>
        <v xml:space="preserve"> of Cooled Waste Water</v>
      </c>
      <c r="P31" s="279" t="str">
        <f>" of "&amp;RapidProduct</f>
        <v xml:space="preserve"> of Cooled Waste Water</v>
      </c>
      <c r="Q31" s="26"/>
    </row>
    <row r="32" spans="2:17" ht="15" customHeight="1" x14ac:dyDescent="0.2">
      <c r="B32" s="302"/>
      <c r="C32" s="275"/>
      <c r="D32" s="141" t="s">
        <v>797</v>
      </c>
      <c r="E32" s="27"/>
      <c r="F32" s="647"/>
      <c r="G32" s="443"/>
      <c r="H32" s="275"/>
      <c r="I32" s="285"/>
      <c r="J32" s="668" t="s">
        <v>664</v>
      </c>
      <c r="K32" s="1070"/>
      <c r="L32" s="45"/>
      <c r="M32" s="443"/>
      <c r="N32" s="275"/>
      <c r="O32" s="568" t="s">
        <v>665</v>
      </c>
      <c r="P32" s="559"/>
      <c r="Q32" s="26"/>
    </row>
    <row r="33" spans="2:17" x14ac:dyDescent="0.2">
      <c r="B33" s="654" t="s">
        <v>666</v>
      </c>
      <c r="C33" s="124" t="s">
        <v>484</v>
      </c>
      <c r="D33" s="254">
        <f>'Rapid Data Input (Method 2)'!F41</f>
        <v>0</v>
      </c>
      <c r="E33" s="254">
        <f>'Rapid Data Input (Method 2)'!G41</f>
        <v>0</v>
      </c>
      <c r="F33" s="647"/>
      <c r="G33" s="654" t="s">
        <v>666</v>
      </c>
      <c r="H33" s="124" t="s">
        <v>484</v>
      </c>
      <c r="I33" s="560" t="e">
        <f t="shared" ref="I33:I40" si="0">IF(D33&lt;&gt;"",D33*RapidFacilityProduction/RapidRefVolume,"")</f>
        <v>#DIV/0!</v>
      </c>
      <c r="J33" s="560" t="e">
        <f t="shared" ref="J33:J40" si="1">IF(E33&lt;&gt;"",E33*RapidFacilityProductionBenchmark/RapidRefVolumeBenchmark,"")</f>
        <v>#DIV/0!</v>
      </c>
      <c r="K33" s="560" t="e">
        <f t="shared" ref="K33:K40" si="2">IF(E33&lt;&gt;"",E33*(RapidFacilityProduction/RapidRefVolumeBenchmark)*(RapidRefVolumeBenchmark/RapidRefVolume),"")</f>
        <v>#DIV/0!</v>
      </c>
      <c r="L33" s="45"/>
      <c r="M33" s="654" t="s">
        <v>666</v>
      </c>
      <c r="N33" s="124" t="s">
        <v>484</v>
      </c>
      <c r="O33" s="560" t="e">
        <f t="shared" ref="O33:O40" si="3">IF(D33&lt;&gt;"",D33*RapidPotentialProduction/RapidRefVolume,"")</f>
        <v>#DIV/0!</v>
      </c>
      <c r="P33" s="560" t="e">
        <f t="shared" ref="P33:P40" si="4">IF(E33&lt;&gt;"",E33*RapidReplaceableProduction/RapidRefVolumeBenchmark,"")</f>
        <v>#DIV/0!</v>
      </c>
      <c r="Q33" s="26"/>
    </row>
    <row r="34" spans="2:17" x14ac:dyDescent="0.2">
      <c r="B34" s="192"/>
      <c r="C34" s="124" t="s">
        <v>489</v>
      </c>
      <c r="D34" s="254">
        <f>'Rapid Data Input (Method 2)'!F42</f>
        <v>0</v>
      </c>
      <c r="E34" s="254">
        <f>'Rapid Data Input (Method 2)'!G42</f>
        <v>0</v>
      </c>
      <c r="F34" s="647"/>
      <c r="G34" s="192"/>
      <c r="H34" s="124" t="s">
        <v>489</v>
      </c>
      <c r="I34" s="560" t="e">
        <f t="shared" si="0"/>
        <v>#DIV/0!</v>
      </c>
      <c r="J34" s="560" t="e">
        <f t="shared" si="1"/>
        <v>#DIV/0!</v>
      </c>
      <c r="K34" s="560" t="e">
        <f t="shared" si="2"/>
        <v>#DIV/0!</v>
      </c>
      <c r="L34" s="45"/>
      <c r="M34" s="192"/>
      <c r="N34" s="124" t="s">
        <v>489</v>
      </c>
      <c r="O34" s="560" t="e">
        <f t="shared" si="3"/>
        <v>#DIV/0!</v>
      </c>
      <c r="P34" s="560" t="e">
        <f t="shared" si="4"/>
        <v>#DIV/0!</v>
      </c>
      <c r="Q34" s="26"/>
    </row>
    <row r="35" spans="2:17" x14ac:dyDescent="0.2">
      <c r="B35" s="192"/>
      <c r="C35" s="124" t="s">
        <v>495</v>
      </c>
      <c r="D35" s="254">
        <f>'Rapid Data Input (Method 2)'!F43</f>
        <v>0</v>
      </c>
      <c r="E35" s="254">
        <f>'Rapid Data Input (Method 2)'!G43</f>
        <v>0</v>
      </c>
      <c r="F35" s="647"/>
      <c r="G35" s="192"/>
      <c r="H35" s="124" t="s">
        <v>495</v>
      </c>
      <c r="I35" s="560" t="e">
        <f t="shared" si="0"/>
        <v>#DIV/0!</v>
      </c>
      <c r="J35" s="560" t="e">
        <f t="shared" si="1"/>
        <v>#DIV/0!</v>
      </c>
      <c r="K35" s="560" t="e">
        <f t="shared" si="2"/>
        <v>#DIV/0!</v>
      </c>
      <c r="L35" s="45"/>
      <c r="M35" s="192"/>
      <c r="N35" s="124" t="s">
        <v>495</v>
      </c>
      <c r="O35" s="560" t="e">
        <f t="shared" si="3"/>
        <v>#DIV/0!</v>
      </c>
      <c r="P35" s="560" t="e">
        <f t="shared" si="4"/>
        <v>#DIV/0!</v>
      </c>
      <c r="Q35" s="26"/>
    </row>
    <row r="36" spans="2:17" x14ac:dyDescent="0.2">
      <c r="B36" s="192"/>
      <c r="C36" s="124" t="s">
        <v>667</v>
      </c>
      <c r="D36" s="254">
        <f>'Rapid Data Input (Method 2)'!F44</f>
        <v>0</v>
      </c>
      <c r="E36" s="254">
        <f>'Rapid Data Input (Method 2)'!G44</f>
        <v>0</v>
      </c>
      <c r="F36" s="647"/>
      <c r="G36" s="192"/>
      <c r="H36" s="124" t="s">
        <v>667</v>
      </c>
      <c r="I36" s="560" t="e">
        <f t="shared" si="0"/>
        <v>#DIV/0!</v>
      </c>
      <c r="J36" s="560" t="e">
        <f t="shared" si="1"/>
        <v>#DIV/0!</v>
      </c>
      <c r="K36" s="560" t="e">
        <f t="shared" si="2"/>
        <v>#DIV/0!</v>
      </c>
      <c r="L36" s="45"/>
      <c r="M36" s="192"/>
      <c r="N36" s="124" t="s">
        <v>667</v>
      </c>
      <c r="O36" s="560" t="e">
        <f t="shared" si="3"/>
        <v>#DIV/0!</v>
      </c>
      <c r="P36" s="560" t="e">
        <f t="shared" si="4"/>
        <v>#DIV/0!</v>
      </c>
      <c r="Q36" s="26"/>
    </row>
    <row r="37" spans="2:17" x14ac:dyDescent="0.2">
      <c r="B37" s="654" t="s">
        <v>669</v>
      </c>
      <c r="C37" s="124" t="s">
        <v>670</v>
      </c>
      <c r="D37" s="254">
        <f>'Rapid Data Input (Method 2)'!F46</f>
        <v>0</v>
      </c>
      <c r="E37" s="254">
        <f>'Rapid Data Input (Method 2)'!G46</f>
        <v>0</v>
      </c>
      <c r="F37" s="647"/>
      <c r="G37" s="654" t="s">
        <v>669</v>
      </c>
      <c r="H37" s="124" t="s">
        <v>670</v>
      </c>
      <c r="I37" s="560" t="e">
        <f t="shared" si="0"/>
        <v>#DIV/0!</v>
      </c>
      <c r="J37" s="560" t="e">
        <f t="shared" si="1"/>
        <v>#DIV/0!</v>
      </c>
      <c r="K37" s="560" t="e">
        <f t="shared" si="2"/>
        <v>#DIV/0!</v>
      </c>
      <c r="L37" s="45"/>
      <c r="M37" s="654" t="s">
        <v>669</v>
      </c>
      <c r="N37" s="124" t="s">
        <v>670</v>
      </c>
      <c r="O37" s="560" t="e">
        <f t="shared" si="3"/>
        <v>#DIV/0!</v>
      </c>
      <c r="P37" s="560" t="e">
        <f t="shared" si="4"/>
        <v>#DIV/0!</v>
      </c>
      <c r="Q37" s="26"/>
    </row>
    <row r="38" spans="2:17" x14ac:dyDescent="0.2">
      <c r="B38" s="192"/>
      <c r="C38" s="124" t="s">
        <v>378</v>
      </c>
      <c r="D38" s="254">
        <f>'Rapid Data Input (Method 2)'!F47</f>
        <v>0</v>
      </c>
      <c r="E38" s="254">
        <f>'Rapid Data Input (Method 2)'!G47</f>
        <v>0</v>
      </c>
      <c r="F38" s="647"/>
      <c r="G38" s="192"/>
      <c r="H38" s="124" t="s">
        <v>378</v>
      </c>
      <c r="I38" s="560" t="e">
        <f t="shared" si="0"/>
        <v>#DIV/0!</v>
      </c>
      <c r="J38" s="560" t="e">
        <f t="shared" si="1"/>
        <v>#DIV/0!</v>
      </c>
      <c r="K38" s="560" t="e">
        <f t="shared" si="2"/>
        <v>#DIV/0!</v>
      </c>
      <c r="L38" s="45"/>
      <c r="M38" s="192"/>
      <c r="N38" s="124" t="s">
        <v>378</v>
      </c>
      <c r="O38" s="560" t="e">
        <f t="shared" si="3"/>
        <v>#DIV/0!</v>
      </c>
      <c r="P38" s="560" t="e">
        <f t="shared" si="4"/>
        <v>#DIV/0!</v>
      </c>
      <c r="Q38" s="26"/>
    </row>
    <row r="39" spans="2:17" x14ac:dyDescent="0.2">
      <c r="B39" s="192"/>
      <c r="C39" s="124" t="s">
        <v>671</v>
      </c>
      <c r="D39" s="254">
        <f>'Rapid Data Input (Method 2)'!F48</f>
        <v>0</v>
      </c>
      <c r="E39" s="254">
        <f>'Rapid Data Input (Method 2)'!G48</f>
        <v>0</v>
      </c>
      <c r="F39" s="647"/>
      <c r="G39" s="192"/>
      <c r="H39" s="124" t="s">
        <v>671</v>
      </c>
      <c r="I39" s="560" t="e">
        <f t="shared" si="0"/>
        <v>#DIV/0!</v>
      </c>
      <c r="J39" s="560" t="e">
        <f t="shared" si="1"/>
        <v>#DIV/0!</v>
      </c>
      <c r="K39" s="560" t="e">
        <f t="shared" si="2"/>
        <v>#DIV/0!</v>
      </c>
      <c r="L39" s="45"/>
      <c r="M39" s="192"/>
      <c r="N39" s="124" t="s">
        <v>671</v>
      </c>
      <c r="O39" s="560" t="e">
        <f t="shared" si="3"/>
        <v>#DIV/0!</v>
      </c>
      <c r="P39" s="560" t="e">
        <f t="shared" si="4"/>
        <v>#DIV/0!</v>
      </c>
      <c r="Q39" s="26"/>
    </row>
    <row r="40" spans="2:17" x14ac:dyDescent="0.2">
      <c r="B40" s="193"/>
      <c r="C40" s="124" t="s">
        <v>565</v>
      </c>
      <c r="D40" s="254">
        <f>'Rapid Data Input (Method 2)'!F49</f>
        <v>0</v>
      </c>
      <c r="E40" s="254">
        <f>'Rapid Data Input (Method 2)'!G49</f>
        <v>0</v>
      </c>
      <c r="F40" s="647"/>
      <c r="G40" s="192"/>
      <c r="H40" s="124" t="s">
        <v>565</v>
      </c>
      <c r="I40" s="560" t="e">
        <f t="shared" si="0"/>
        <v>#DIV/0!</v>
      </c>
      <c r="J40" s="560" t="e">
        <f t="shared" si="1"/>
        <v>#DIV/0!</v>
      </c>
      <c r="K40" s="560" t="e">
        <f t="shared" si="2"/>
        <v>#DIV/0!</v>
      </c>
      <c r="L40" s="45"/>
      <c r="M40" s="192"/>
      <c r="N40" s="124" t="s">
        <v>565</v>
      </c>
      <c r="O40" s="560" t="e">
        <f t="shared" si="3"/>
        <v>#DIV/0!</v>
      </c>
      <c r="P40" s="560" t="e">
        <f t="shared" si="4"/>
        <v>#DIV/0!</v>
      </c>
      <c r="Q40" s="26"/>
    </row>
    <row r="41" spans="2:17" x14ac:dyDescent="0.2">
      <c r="B41" s="654" t="s">
        <v>672</v>
      </c>
      <c r="C41" s="124" t="s">
        <v>673</v>
      </c>
      <c r="D41" s="254">
        <f>'Rapid Data Input (Method 2)'!F50</f>
        <v>0</v>
      </c>
      <c r="E41" s="254">
        <f>'Rapid Data Input (Method 2)'!G50</f>
        <v>0</v>
      </c>
      <c r="F41" s="647"/>
      <c r="G41" s="654" t="s">
        <v>672</v>
      </c>
      <c r="H41" s="124" t="s">
        <v>673</v>
      </c>
      <c r="I41" s="560" t="e">
        <f>SUM(I33:I36)</f>
        <v>#DIV/0!</v>
      </c>
      <c r="J41" s="560" t="e">
        <f>SUM(J33:J36)</f>
        <v>#DIV/0!</v>
      </c>
      <c r="K41" s="560" t="e">
        <f>SUM(K33:K36)</f>
        <v>#DIV/0!</v>
      </c>
      <c r="L41" s="45"/>
      <c r="M41" s="654" t="s">
        <v>672</v>
      </c>
      <c r="N41" s="124" t="s">
        <v>673</v>
      </c>
      <c r="O41" s="560" t="e">
        <f>SUM(O33:O36)</f>
        <v>#DIV/0!</v>
      </c>
      <c r="P41" s="560" t="e">
        <f>SUM(P33:P36)</f>
        <v>#DIV/0!</v>
      </c>
      <c r="Q41" s="26"/>
    </row>
    <row r="42" spans="2:17" x14ac:dyDescent="0.2">
      <c r="B42" s="655"/>
      <c r="C42" s="124" t="s">
        <v>674</v>
      </c>
      <c r="D42" s="254">
        <f>'Rapid Data Input (Method 2)'!F51</f>
        <v>0</v>
      </c>
      <c r="E42" s="254">
        <f>'Rapid Data Input (Method 2)'!G51</f>
        <v>0</v>
      </c>
      <c r="F42" s="647"/>
      <c r="G42" s="655"/>
      <c r="H42" s="124" t="s">
        <v>674</v>
      </c>
      <c r="I42" s="560" t="e">
        <f>SUM(I37:I40)</f>
        <v>#DIV/0!</v>
      </c>
      <c r="J42" s="560" t="e">
        <f>SUM(J37:J40)</f>
        <v>#DIV/0!</v>
      </c>
      <c r="K42" s="560" t="e">
        <f>SUM(K37:K40)</f>
        <v>#DIV/0!</v>
      </c>
      <c r="L42" s="45"/>
      <c r="M42" s="655"/>
      <c r="N42" s="124" t="s">
        <v>674</v>
      </c>
      <c r="O42" s="560" t="e">
        <f>SUM(O37:O40)</f>
        <v>#DIV/0!</v>
      </c>
      <c r="P42" s="560" t="e">
        <f>SUM(P37:P40)</f>
        <v>#DIV/0!</v>
      </c>
      <c r="Q42" s="26"/>
    </row>
    <row r="43" spans="2:17" x14ac:dyDescent="0.2">
      <c r="B43" s="656"/>
      <c r="C43" s="235" t="s">
        <v>675</v>
      </c>
      <c r="D43" s="283">
        <f>SUM(D41:D42)</f>
        <v>0</v>
      </c>
      <c r="E43" s="283">
        <f>SUM(E41:E42)</f>
        <v>0</v>
      </c>
      <c r="F43" s="647"/>
      <c r="G43" s="656"/>
      <c r="H43" s="278" t="s">
        <v>675</v>
      </c>
      <c r="I43" s="561" t="e">
        <f>SUM(I41:I42)</f>
        <v>#DIV/0!</v>
      </c>
      <c r="J43" s="561" t="e">
        <f t="shared" ref="J43:K43" si="5">SUM(J41:J42)</f>
        <v>#DIV/0!</v>
      </c>
      <c r="K43" s="561" t="e">
        <f t="shared" si="5"/>
        <v>#DIV/0!</v>
      </c>
      <c r="L43" s="45"/>
      <c r="M43" s="656"/>
      <c r="N43" s="278" t="s">
        <v>675</v>
      </c>
      <c r="O43" s="561" t="e">
        <f>SUM(O41:O42)</f>
        <v>#DIV/0!</v>
      </c>
      <c r="P43" s="561" t="e">
        <f>SUM(P41:P42)</f>
        <v>#DIV/0!</v>
      </c>
      <c r="Q43" s="26"/>
    </row>
    <row r="44" spans="2:17" ht="12" customHeight="1" x14ac:dyDescent="0.2">
      <c r="B44" s="646"/>
      <c r="C44" s="647"/>
      <c r="D44" s="647"/>
      <c r="E44" s="647"/>
      <c r="F44" s="647"/>
      <c r="G44" s="282" t="s">
        <v>676</v>
      </c>
      <c r="H44" s="60"/>
      <c r="I44" s="60"/>
      <c r="J44" s="60"/>
      <c r="K44" s="60"/>
      <c r="L44" s="45"/>
      <c r="M44" s="282" t="s">
        <v>677</v>
      </c>
      <c r="N44" s="647"/>
      <c r="O44" s="647"/>
      <c r="P44" s="647"/>
      <c r="Q44" s="26"/>
    </row>
    <row r="45" spans="2:17" x14ac:dyDescent="0.2">
      <c r="B45" s="646"/>
      <c r="C45" s="647"/>
      <c r="D45" s="647"/>
      <c r="E45" s="647"/>
      <c r="F45" s="647"/>
      <c r="G45" s="23" t="s">
        <v>678</v>
      </c>
      <c r="H45" s="24"/>
      <c r="I45" s="24"/>
      <c r="J45" s="24"/>
      <c r="K45" s="24"/>
      <c r="L45" s="45"/>
      <c r="M45" s="23" t="s">
        <v>679</v>
      </c>
      <c r="N45" s="647"/>
      <c r="O45" s="647"/>
      <c r="P45" s="647"/>
      <c r="Q45" s="26"/>
    </row>
    <row r="46" spans="2:17" ht="38.25" customHeight="1" x14ac:dyDescent="0.2">
      <c r="B46" s="1395" t="s">
        <v>680</v>
      </c>
      <c r="C46" s="1396"/>
      <c r="D46" s="1396"/>
      <c r="E46" s="1396"/>
      <c r="F46" s="1396"/>
      <c r="G46" s="299"/>
      <c r="H46" s="300"/>
      <c r="I46" s="300"/>
      <c r="J46" s="300"/>
      <c r="K46" s="300"/>
      <c r="L46" s="300"/>
      <c r="M46" s="299"/>
      <c r="N46" s="647"/>
      <c r="O46" s="647"/>
      <c r="P46" s="647"/>
      <c r="Q46" s="26"/>
    </row>
    <row r="47" spans="2:17" ht="16" x14ac:dyDescent="0.2">
      <c r="B47" s="646"/>
      <c r="C47" s="297" t="e">
        <f>P43-O43</f>
        <v>#DIV/0!</v>
      </c>
      <c r="D47" s="290" t="s">
        <v>681</v>
      </c>
      <c r="E47" s="647"/>
      <c r="F47" s="647"/>
      <c r="H47" s="300"/>
      <c r="I47" s="300"/>
      <c r="J47" s="300"/>
      <c r="K47" s="300"/>
      <c r="L47" s="300"/>
      <c r="M47" s="299"/>
      <c r="N47" s="647"/>
      <c r="O47" s="647"/>
      <c r="P47" s="647"/>
      <c r="Q47" s="26"/>
    </row>
    <row r="48" spans="2:17" ht="16" x14ac:dyDescent="0.2">
      <c r="B48" s="303"/>
      <c r="C48" s="298" t="e">
        <f>"("&amp;TEXT(C47/P43,"0.0%")</f>
        <v>#DIV/0!</v>
      </c>
      <c r="D48" s="290" t="s">
        <v>682</v>
      </c>
      <c r="E48" s="647"/>
      <c r="F48" s="647"/>
      <c r="G48" s="307" t="e">
        <f>IF(C47&lt;0,"Warning: Analysis is currently showing a cost increase for the new technology.","")</f>
        <v>#DIV/0!</v>
      </c>
      <c r="H48" s="300"/>
      <c r="I48" s="300"/>
      <c r="J48" s="300"/>
      <c r="K48" s="300"/>
      <c r="L48" s="300"/>
      <c r="M48" s="299"/>
      <c r="N48" s="647"/>
      <c r="O48" s="647"/>
      <c r="P48" s="647"/>
      <c r="Q48" s="26"/>
    </row>
    <row r="49" spans="2:17" x14ac:dyDescent="0.2">
      <c r="B49" s="84"/>
      <c r="C49" s="291"/>
      <c r="D49" s="292"/>
      <c r="E49" s="659"/>
      <c r="F49" s="210"/>
      <c r="G49" s="210"/>
      <c r="H49" s="45"/>
      <c r="I49" s="45"/>
      <c r="J49" s="45"/>
      <c r="K49" s="45"/>
      <c r="L49" s="45"/>
      <c r="M49" s="45"/>
      <c r="N49" s="45"/>
      <c r="O49" s="45"/>
      <c r="P49" s="45"/>
      <c r="Q49" s="12"/>
    </row>
    <row r="50" spans="2:17" ht="18" x14ac:dyDescent="0.2">
      <c r="B50" s="144" t="s">
        <v>683</v>
      </c>
      <c r="C50" s="145"/>
      <c r="D50" s="145"/>
      <c r="E50" s="145"/>
      <c r="F50" s="145"/>
      <c r="G50" s="145"/>
      <c r="H50" s="145"/>
      <c r="I50" s="145"/>
      <c r="J50" s="145"/>
      <c r="K50" s="145"/>
      <c r="L50" s="145"/>
      <c r="M50" s="145"/>
      <c r="N50" s="64"/>
      <c r="O50" s="64"/>
      <c r="P50" s="64"/>
      <c r="Q50" s="306"/>
    </row>
    <row r="51" spans="2:17" x14ac:dyDescent="0.2">
      <c r="B51" s="84"/>
      <c r="C51" s="291"/>
      <c r="D51" s="292"/>
      <c r="E51" s="659"/>
      <c r="F51" s="210"/>
      <c r="G51" s="210"/>
      <c r="H51" s="45"/>
      <c r="I51" s="45"/>
      <c r="J51" s="45"/>
      <c r="K51" s="45"/>
      <c r="L51" s="45"/>
      <c r="M51" s="45"/>
      <c r="N51" s="45"/>
      <c r="O51" s="45"/>
      <c r="P51" s="45"/>
      <c r="Q51" s="12"/>
    </row>
    <row r="52" spans="2:17" x14ac:dyDescent="0.2">
      <c r="B52" s="100" t="s">
        <v>684</v>
      </c>
      <c r="C52" s="45"/>
      <c r="D52" s="45"/>
      <c r="E52" s="45"/>
      <c r="F52" s="45"/>
      <c r="H52" s="45"/>
      <c r="I52" s="295" t="s">
        <v>684</v>
      </c>
      <c r="J52" s="45"/>
      <c r="K52" s="45"/>
      <c r="L52" s="45"/>
      <c r="M52" s="45"/>
      <c r="N52" s="45"/>
      <c r="O52" s="45"/>
      <c r="P52" s="45"/>
      <c r="Q52" s="12"/>
    </row>
    <row r="53" spans="2:17" x14ac:dyDescent="0.2">
      <c r="B53" s="138" t="s">
        <v>656</v>
      </c>
      <c r="C53" s="45"/>
      <c r="D53" s="1321" t="s">
        <v>161</v>
      </c>
      <c r="E53" s="1401"/>
      <c r="F53" s="1321" t="s">
        <v>162</v>
      </c>
      <c r="G53" s="1401"/>
      <c r="H53" s="45"/>
      <c r="I53" s="284" t="s">
        <v>660</v>
      </c>
      <c r="J53" s="45"/>
      <c r="K53" s="1321" t="s">
        <v>161</v>
      </c>
      <c r="L53" s="1401"/>
      <c r="M53" s="1321" t="s">
        <v>162</v>
      </c>
      <c r="N53" s="1401"/>
      <c r="O53" s="45"/>
      <c r="P53" s="45"/>
      <c r="Q53" s="12"/>
    </row>
    <row r="54" spans="2:17" x14ac:dyDescent="0.2">
      <c r="B54" s="293" t="s">
        <v>685</v>
      </c>
      <c r="C54" s="443" t="s">
        <v>163</v>
      </c>
      <c r="D54" s="570">
        <f>RpaidNewTech</f>
        <v>0</v>
      </c>
      <c r="E54" s="571"/>
      <c r="F54" s="572">
        <f>RapidBenchmarkTech</f>
        <v>0</v>
      </c>
      <c r="G54" s="573"/>
      <c r="H54" s="45"/>
      <c r="I54" s="212" t="s">
        <v>686</v>
      </c>
      <c r="J54" s="443" t="s">
        <v>163</v>
      </c>
      <c r="K54" s="583">
        <f>O29</f>
        <v>0</v>
      </c>
      <c r="L54" s="573"/>
      <c r="M54" s="588">
        <f>P29</f>
        <v>0</v>
      </c>
      <c r="N54" s="589"/>
      <c r="O54" s="45"/>
      <c r="P54" s="45"/>
      <c r="Q54" s="12"/>
    </row>
    <row r="55" spans="2:17" x14ac:dyDescent="0.2">
      <c r="B55" s="100"/>
      <c r="C55" s="443" t="s">
        <v>175</v>
      </c>
      <c r="D55" s="574" t="str">
        <f>TEXT(RapidRefVolume,"#,##0")&amp;" "&amp;RapidAnnualProdUnits</f>
        <v xml:space="preserve">0 </v>
      </c>
      <c r="E55" s="575"/>
      <c r="F55" s="574" t="str">
        <f>TEXT(RapidRefVolumeBenchmark,"#,##0")&amp;" "&amp;RapidAnnualProdUnits</f>
        <v xml:space="preserve">0 </v>
      </c>
      <c r="G55" s="578"/>
      <c r="H55" s="45"/>
      <c r="I55" s="295"/>
      <c r="J55" s="443" t="s">
        <v>687</v>
      </c>
      <c r="K55" s="574" t="e">
        <f>O30</f>
        <v>#DIV/0!</v>
      </c>
      <c r="L55" s="575"/>
      <c r="M55" s="574" t="str">
        <f>P30</f>
        <v xml:space="preserve">0 </v>
      </c>
      <c r="N55" s="578"/>
      <c r="O55" s="45"/>
      <c r="P55" s="45"/>
      <c r="Q55" s="12"/>
    </row>
    <row r="56" spans="2:17" x14ac:dyDescent="0.2">
      <c r="B56" s="100"/>
      <c r="C56" s="443"/>
      <c r="D56" s="576" t="str">
        <f>" of "&amp;RapidProduct</f>
        <v xml:space="preserve"> of Cooled Waste Water</v>
      </c>
      <c r="E56" s="577"/>
      <c r="F56" s="576" t="str">
        <f>" of "&amp;RapidProduct</f>
        <v xml:space="preserve"> of Cooled Waste Water</v>
      </c>
      <c r="G56" s="1066"/>
      <c r="H56" s="45"/>
      <c r="I56" s="295"/>
      <c r="J56" s="443"/>
      <c r="K56" s="576" t="str">
        <f>O31</f>
        <v xml:space="preserve"> of Cooled Waste Water</v>
      </c>
      <c r="L56" s="577"/>
      <c r="M56" s="576" t="str">
        <f>P31</f>
        <v xml:space="preserve"> of Cooled Waste Water</v>
      </c>
      <c r="N56" s="1066"/>
      <c r="O56" s="45"/>
      <c r="P56" s="45"/>
      <c r="Q56" s="12"/>
    </row>
    <row r="57" spans="2:17" x14ac:dyDescent="0.2">
      <c r="B57" s="100"/>
      <c r="C57" s="443"/>
      <c r="D57" s="576" t="s">
        <v>378</v>
      </c>
      <c r="E57" s="576" t="s">
        <v>688</v>
      </c>
      <c r="F57" s="576" t="s">
        <v>378</v>
      </c>
      <c r="G57" s="1068" t="s">
        <v>688</v>
      </c>
      <c r="H57" s="45"/>
      <c r="I57" s="295"/>
      <c r="J57" s="443"/>
      <c r="K57" s="576" t="s">
        <v>378</v>
      </c>
      <c r="L57" s="576" t="s">
        <v>688</v>
      </c>
      <c r="M57" s="576" t="s">
        <v>378</v>
      </c>
      <c r="N57" s="1068" t="s">
        <v>688</v>
      </c>
      <c r="O57" s="45"/>
      <c r="P57" s="45"/>
      <c r="Q57" s="12"/>
    </row>
    <row r="58" spans="2:17" x14ac:dyDescent="0.2">
      <c r="B58" s="654" t="s">
        <v>689</v>
      </c>
      <c r="C58" s="179" t="s">
        <v>670</v>
      </c>
      <c r="D58" s="579">
        <f>'Rapid Data Input (Method 2)'!F61</f>
        <v>0</v>
      </c>
      <c r="E58" s="581">
        <f>'Rapid Data Input (Method 2)'!G61</f>
        <v>0</v>
      </c>
      <c r="F58" s="579">
        <f>'Rapid Data Input (Method 2)'!H61</f>
        <v>0</v>
      </c>
      <c r="G58" s="1067">
        <f>'Rapid Data Input (Method 2)'!I61</f>
        <v>0</v>
      </c>
      <c r="H58" s="45"/>
      <c r="I58" s="654" t="s">
        <v>690</v>
      </c>
      <c r="J58" s="124" t="s">
        <v>670</v>
      </c>
      <c r="K58" s="584" t="e">
        <f>'Rapid Data Input (Method 2)'!F74*0.000001</f>
        <v>#DIV/0!</v>
      </c>
      <c r="L58" s="585" t="e">
        <f>'Rapid Data Input (Method 2)'!G74/1000000</f>
        <v>#DIV/0!</v>
      </c>
      <c r="M58" s="584" t="e">
        <f>'Rapid Data Input (Method 2)'!H74/1000000</f>
        <v>#DIV/0!</v>
      </c>
      <c r="N58" s="1069" t="e">
        <f>'Rapid Data Input (Method 2)'!I74/1000000</f>
        <v>#DIV/0!</v>
      </c>
      <c r="O58" s="45"/>
      <c r="P58" s="45"/>
      <c r="Q58" s="12"/>
    </row>
    <row r="59" spans="2:17" x14ac:dyDescent="0.2">
      <c r="B59" s="193"/>
      <c r="C59" s="179" t="s">
        <v>111</v>
      </c>
      <c r="D59" s="579">
        <f>'Rapid Data Input (Method 2)'!F62</f>
        <v>0</v>
      </c>
      <c r="E59" s="581">
        <f>'Rapid Data Input (Method 2)'!G62</f>
        <v>0</v>
      </c>
      <c r="F59" s="579">
        <f>'Rapid Data Input (Method 2)'!H62</f>
        <v>0</v>
      </c>
      <c r="G59" s="581">
        <f>'Rapid Data Input (Method 2)'!I62</f>
        <v>0</v>
      </c>
      <c r="H59" s="45"/>
      <c r="I59" s="193"/>
      <c r="J59" s="124" t="s">
        <v>111</v>
      </c>
      <c r="K59" s="584" t="e">
        <f>'Rapid Data Input (Method 2)'!F75*0.000001</f>
        <v>#DIV/0!</v>
      </c>
      <c r="L59" s="585" t="e">
        <f>'Rapid Data Input (Method 2)'!G75/1000000</f>
        <v>#DIV/0!</v>
      </c>
      <c r="M59" s="584" t="e">
        <f>'Rapid Data Input (Method 2)'!H75/1000000</f>
        <v>#DIV/0!</v>
      </c>
      <c r="N59" s="585" t="e">
        <f>'Rapid Data Input (Method 2)'!I75/1000000</f>
        <v>#DIV/0!</v>
      </c>
      <c r="O59" s="45"/>
      <c r="P59" s="45"/>
      <c r="Q59" s="12"/>
    </row>
    <row r="60" spans="2:17" x14ac:dyDescent="0.2">
      <c r="B60" s="442" t="s">
        <v>371</v>
      </c>
      <c r="C60" s="124" t="s">
        <v>691</v>
      </c>
      <c r="D60" s="580">
        <f>SUM(D58:D59)</f>
        <v>0</v>
      </c>
      <c r="E60" s="582">
        <f>SUM(E58:E59)</f>
        <v>0</v>
      </c>
      <c r="F60" s="580">
        <f>SUM(F58:F59)</f>
        <v>0</v>
      </c>
      <c r="G60" s="582">
        <f>SUM(G58:G59)</f>
        <v>0</v>
      </c>
      <c r="H60" s="45"/>
      <c r="I60" s="654" t="s">
        <v>692</v>
      </c>
      <c r="J60" s="179" t="s">
        <v>693</v>
      </c>
      <c r="K60" s="584">
        <f>'Rapid Data Input (Method 2)'!F76*0.000001</f>
        <v>0</v>
      </c>
      <c r="L60" s="585">
        <f>'Rapid Data Input (Method 2)'!G76/1000000</f>
        <v>0</v>
      </c>
      <c r="M60" s="584">
        <f>'Rapid Data Input (Method 2)'!H76/1000000</f>
        <v>0</v>
      </c>
      <c r="N60" s="585">
        <f>'Rapid Data Input (Method 2)'!I76/1000000</f>
        <v>0</v>
      </c>
      <c r="O60" s="45"/>
      <c r="P60" s="45"/>
      <c r="Q60" s="12"/>
    </row>
    <row r="61" spans="2:17" ht="15" customHeight="1" x14ac:dyDescent="0.2">
      <c r="B61" s="1397" t="s">
        <v>694</v>
      </c>
      <c r="C61" s="1398"/>
      <c r="D61" s="1398"/>
      <c r="E61" s="1398"/>
      <c r="F61" s="45"/>
      <c r="G61" s="45"/>
      <c r="H61" s="45"/>
      <c r="I61" s="654" t="s">
        <v>695</v>
      </c>
      <c r="J61" s="296" t="s">
        <v>696</v>
      </c>
      <c r="K61" s="584" t="e">
        <f>SUM(K58:K59)</f>
        <v>#DIV/0!</v>
      </c>
      <c r="L61" s="585" t="e">
        <f>SUM(L58:L59)</f>
        <v>#DIV/0!</v>
      </c>
      <c r="M61" s="584" t="e">
        <f>SUM(M58:M59)</f>
        <v>#DIV/0!</v>
      </c>
      <c r="N61" s="585" t="e">
        <f>SUM(N58:N59)</f>
        <v>#DIV/0!</v>
      </c>
      <c r="O61" s="45"/>
      <c r="P61" s="45"/>
      <c r="Q61" s="12"/>
    </row>
    <row r="62" spans="2:17" x14ac:dyDescent="0.2">
      <c r="B62" s="1399"/>
      <c r="C62" s="1400"/>
      <c r="D62" s="1400"/>
      <c r="E62" s="1400"/>
      <c r="F62" s="45"/>
      <c r="G62" s="45"/>
      <c r="H62" s="45"/>
      <c r="I62" s="277"/>
      <c r="J62" s="124" t="s">
        <v>697</v>
      </c>
      <c r="K62" s="584">
        <f>SUM(K60)</f>
        <v>0</v>
      </c>
      <c r="L62" s="585">
        <f>SUM(L60)</f>
        <v>0</v>
      </c>
      <c r="M62" s="584">
        <f>SUM(M60)</f>
        <v>0</v>
      </c>
      <c r="N62" s="585">
        <f>SUM(N60)</f>
        <v>0</v>
      </c>
      <c r="O62" s="45"/>
      <c r="P62" s="45"/>
      <c r="Q62" s="12"/>
    </row>
    <row r="63" spans="2:17" x14ac:dyDescent="0.2">
      <c r="B63" s="1399"/>
      <c r="C63" s="1400"/>
      <c r="D63" s="1400"/>
      <c r="E63" s="1400"/>
      <c r="F63" s="45"/>
      <c r="G63" s="45"/>
      <c r="H63" s="45"/>
      <c r="I63" s="656"/>
      <c r="J63" s="276" t="s">
        <v>698</v>
      </c>
      <c r="K63" s="586" t="e">
        <f>SUM(K61:K62)</f>
        <v>#DIV/0!</v>
      </c>
      <c r="L63" s="587" t="e">
        <f>SUM(L61:L62)</f>
        <v>#DIV/0!</v>
      </c>
      <c r="M63" s="586" t="e">
        <f>SUM(M61:M62)</f>
        <v>#DIV/0!</v>
      </c>
      <c r="N63" s="587" t="e">
        <f>SUM(N61:N62)</f>
        <v>#DIV/0!</v>
      </c>
      <c r="O63" s="45"/>
      <c r="P63" s="45"/>
      <c r="Q63" s="12"/>
    </row>
    <row r="64" spans="2:17" x14ac:dyDescent="0.2">
      <c r="B64" s="211"/>
      <c r="C64" s="21"/>
      <c r="D64" s="294"/>
      <c r="E64" s="45"/>
      <c r="F64" s="45"/>
      <c r="G64" s="45"/>
      <c r="H64" s="45"/>
      <c r="I64" s="21" t="s">
        <v>699</v>
      </c>
      <c r="J64" s="45"/>
      <c r="K64" s="45"/>
      <c r="L64" s="45"/>
      <c r="M64" s="45"/>
      <c r="N64" s="45"/>
      <c r="O64" s="45"/>
      <c r="P64" s="45"/>
      <c r="Q64" s="12"/>
    </row>
    <row r="65" spans="2:17" x14ac:dyDescent="0.2">
      <c r="B65" s="211"/>
      <c r="C65" s="21"/>
      <c r="D65" s="294"/>
      <c r="E65" s="45"/>
      <c r="F65" s="45"/>
      <c r="G65" s="45"/>
      <c r="H65" s="45"/>
      <c r="I65" s="21" t="s">
        <v>700</v>
      </c>
      <c r="J65" s="45"/>
      <c r="K65" s="45"/>
      <c r="L65" s="45"/>
      <c r="M65" s="45"/>
      <c r="N65" s="45"/>
      <c r="O65" s="45"/>
      <c r="P65" s="45"/>
      <c r="Q65" s="12"/>
    </row>
    <row r="66" spans="2:17" x14ac:dyDescent="0.2">
      <c r="B66" s="211"/>
      <c r="C66" s="21"/>
      <c r="D66" s="294"/>
      <c r="E66" s="45"/>
      <c r="F66" s="45"/>
      <c r="G66" s="21"/>
      <c r="H66" s="45"/>
      <c r="I66" s="45"/>
      <c r="J66" s="45"/>
      <c r="K66" s="45"/>
      <c r="L66" s="45"/>
      <c r="M66" s="45"/>
      <c r="N66" s="45"/>
      <c r="O66" s="45"/>
      <c r="P66" s="45"/>
      <c r="Q66" s="12"/>
    </row>
    <row r="67" spans="2:17" ht="36.75" customHeight="1" x14ac:dyDescent="0.2">
      <c r="B67" s="1395" t="s">
        <v>701</v>
      </c>
      <c r="C67" s="1396"/>
      <c r="D67" s="1396"/>
      <c r="E67" s="1396"/>
      <c r="F67" s="1396"/>
      <c r="G67" s="21"/>
      <c r="H67" s="45"/>
      <c r="I67" s="45"/>
      <c r="J67" s="45"/>
      <c r="K67" s="45"/>
      <c r="L67" s="45"/>
      <c r="M67" s="45"/>
      <c r="N67" s="45"/>
      <c r="O67" s="45"/>
      <c r="P67" s="45"/>
      <c r="Q67" s="12"/>
    </row>
    <row r="68" spans="2:17" ht="16" x14ac:dyDescent="0.2">
      <c r="B68" s="304"/>
      <c r="C68" s="515" t="e">
        <f>M63-K63</f>
        <v>#DIV/0!</v>
      </c>
      <c r="D68" s="290" t="s">
        <v>819</v>
      </c>
      <c r="E68" s="647"/>
      <c r="F68" s="647"/>
      <c r="G68" s="21"/>
      <c r="H68" s="45"/>
      <c r="I68" s="45"/>
      <c r="J68" s="45"/>
      <c r="K68" s="45"/>
      <c r="L68" s="45"/>
      <c r="M68" s="45"/>
      <c r="N68" s="45"/>
      <c r="O68" s="45"/>
      <c r="P68" s="45"/>
      <c r="Q68" s="12"/>
    </row>
    <row r="69" spans="2:17" ht="16" x14ac:dyDescent="0.2">
      <c r="B69" s="304"/>
      <c r="C69" s="298" t="e">
        <f>IF(M63&gt;0,"("&amp;TEXT(C68/M63,"0.0%"),"(TBD")</f>
        <v>#DIV/0!</v>
      </c>
      <c r="D69" s="290" t="s">
        <v>703</v>
      </c>
      <c r="E69" s="647"/>
      <c r="F69" s="647"/>
      <c r="G69" s="307" t="e">
        <f>IF(C68&lt;0,"Warning: Analysis is currently showing a life cycle energy increase for the new technology.","")</f>
        <v>#DIV/0!</v>
      </c>
      <c r="H69" s="45"/>
      <c r="I69" s="45"/>
      <c r="J69" s="45"/>
      <c r="K69" s="45"/>
      <c r="L69" s="45"/>
      <c r="M69" s="45"/>
      <c r="N69" s="45"/>
      <c r="O69" s="45"/>
      <c r="P69" s="45"/>
      <c r="Q69" s="12"/>
    </row>
    <row r="70" spans="2:17" ht="16" x14ac:dyDescent="0.2">
      <c r="B70" s="304"/>
      <c r="C70" s="298"/>
      <c r="D70" s="290"/>
      <c r="E70" s="647"/>
      <c r="F70" s="647"/>
      <c r="G70" s="307"/>
      <c r="H70" s="45"/>
      <c r="I70" s="45"/>
      <c r="J70" s="45"/>
      <c r="K70" s="45"/>
      <c r="L70" s="45"/>
      <c r="M70" s="45"/>
      <c r="N70" s="45"/>
      <c r="O70" s="45"/>
      <c r="P70" s="45"/>
      <c r="Q70" s="12"/>
    </row>
    <row r="71" spans="2:17" ht="16" x14ac:dyDescent="0.2">
      <c r="B71" s="407"/>
      <c r="C71" s="516" t="e">
        <f>N63-L63</f>
        <v>#DIV/0!</v>
      </c>
      <c r="D71" s="290" t="s">
        <v>704</v>
      </c>
      <c r="E71" s="647"/>
      <c r="F71" s="647"/>
      <c r="G71" s="307"/>
      <c r="H71" s="45"/>
      <c r="I71" s="45"/>
      <c r="J71" s="45"/>
      <c r="K71" s="45"/>
      <c r="L71" s="45"/>
      <c r="M71" s="45"/>
      <c r="N71" s="45"/>
      <c r="O71" s="45"/>
      <c r="P71" s="45"/>
      <c r="Q71" s="12"/>
    </row>
    <row r="72" spans="2:17" ht="16" x14ac:dyDescent="0.2">
      <c r="B72" s="304"/>
      <c r="C72" s="298" t="e">
        <f>IF(N63&gt;0,"("&amp;TEXT(C71/N63,"0.0%"),"(TBD")</f>
        <v>#DIV/0!</v>
      </c>
      <c r="D72" s="290" t="s">
        <v>705</v>
      </c>
      <c r="E72" s="647"/>
      <c r="F72" s="647"/>
      <c r="G72" s="307"/>
      <c r="H72" s="45"/>
      <c r="I72" s="45"/>
      <c r="J72" s="45"/>
      <c r="K72" s="45"/>
      <c r="L72" s="45"/>
      <c r="M72" s="45"/>
      <c r="N72" s="45"/>
      <c r="O72" s="45"/>
      <c r="P72" s="45"/>
      <c r="Q72" s="12"/>
    </row>
    <row r="73" spans="2:17" x14ac:dyDescent="0.2">
      <c r="B73" s="88"/>
      <c r="C73" s="89"/>
      <c r="D73" s="89"/>
      <c r="E73" s="89"/>
      <c r="F73" s="89"/>
      <c r="G73" s="89"/>
      <c r="H73" s="89"/>
      <c r="I73" s="89"/>
      <c r="J73" s="89"/>
      <c r="K73" s="89"/>
      <c r="L73" s="89"/>
      <c r="M73" s="89"/>
      <c r="N73" s="305"/>
      <c r="O73" s="242"/>
      <c r="P73" s="242" t="s">
        <v>706</v>
      </c>
      <c r="Q73" s="90"/>
    </row>
    <row r="74" spans="2:17" x14ac:dyDescent="0.2">
      <c r="B74" s="1206" t="s">
        <v>124</v>
      </c>
      <c r="C74" s="1169"/>
      <c r="D74" s="1170"/>
    </row>
  </sheetData>
  <mergeCells count="12">
    <mergeCell ref="B2:O2"/>
    <mergeCell ref="B74:D74"/>
    <mergeCell ref="B67:F67"/>
    <mergeCell ref="B1:M1"/>
    <mergeCell ref="B3:M3"/>
    <mergeCell ref="B5:M5"/>
    <mergeCell ref="B46:F46"/>
    <mergeCell ref="D53:E53"/>
    <mergeCell ref="F53:G53"/>
    <mergeCell ref="K53:L53"/>
    <mergeCell ref="M53:N53"/>
    <mergeCell ref="B61:E63"/>
  </mergeCells>
  <hyperlinks>
    <hyperlink ref="B74:D74" location="FullDataLanding" display="Return to Home Page" xr:uid="{C1BCF5C7-ABAE-475F-8FEB-842E12A7B12A}"/>
  </hyperlinks>
  <pageMargins left="0.25" right="0.25" top="0.75" bottom="0.75" header="0.3" footer="0.3"/>
  <pageSetup scale="30"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E0310-FBD9-4190-B9FF-40BAB92B568E}">
  <sheetPr>
    <tabColor rgb="FF990033"/>
    <pageSetUpPr fitToPage="1"/>
  </sheetPr>
  <dimension ref="A1:AD52"/>
  <sheetViews>
    <sheetView workbookViewId="0"/>
  </sheetViews>
  <sheetFormatPr baseColWidth="10" defaultColWidth="8.83203125" defaultRowHeight="15" x14ac:dyDescent="0.2"/>
  <cols>
    <col min="1" max="1" width="2.6640625" customWidth="1"/>
    <col min="2" max="2" width="8.5" customWidth="1"/>
    <col min="3" max="4" width="25.6640625" customWidth="1"/>
    <col min="5" max="5" width="6.5" customWidth="1"/>
    <col min="6" max="7" width="25.6640625" customWidth="1"/>
    <col min="8" max="8" width="6.5" customWidth="1"/>
    <col min="9" max="10" width="25.6640625" customWidth="1"/>
    <col min="11" max="11" width="6.5" customWidth="1"/>
    <col min="12" max="13" width="25.6640625" customWidth="1"/>
    <col min="14" max="14" width="6.5" customWidth="1"/>
    <col min="15" max="16" width="25.6640625" customWidth="1"/>
    <col min="17" max="17" width="6.5" customWidth="1"/>
    <col min="18" max="19" width="25.6640625" customWidth="1"/>
    <col min="20" max="20" width="4.6640625" customWidth="1"/>
    <col min="21" max="21" width="2.6640625" customWidth="1"/>
    <col min="22" max="22" width="31.5" customWidth="1"/>
    <col min="23" max="23" width="22.33203125" style="358" customWidth="1"/>
    <col min="24" max="24" width="39.33203125" style="358" customWidth="1"/>
    <col min="25" max="25" width="29.5" style="358" customWidth="1"/>
    <col min="26" max="26" width="42.5" style="358" customWidth="1"/>
    <col min="27" max="27" width="36" style="358" customWidth="1"/>
    <col min="28" max="28" width="10.6640625" style="358" customWidth="1"/>
    <col min="29" max="29" width="10.6640625" style="359" customWidth="1"/>
    <col min="30" max="30" width="9.33203125" style="322"/>
  </cols>
  <sheetData>
    <row r="1" spans="1:30" ht="15.75" customHeight="1" x14ac:dyDescent="0.2">
      <c r="A1" s="17"/>
      <c r="B1" s="1159" t="s">
        <v>0</v>
      </c>
      <c r="C1" s="1160"/>
      <c r="D1" s="1160"/>
      <c r="E1" s="1160"/>
      <c r="F1" s="1160"/>
      <c r="G1" s="1160"/>
      <c r="H1" s="1160"/>
      <c r="I1" s="1160"/>
      <c r="J1" s="1160"/>
      <c r="K1" s="1160"/>
      <c r="L1" s="1160"/>
      <c r="M1" s="1160"/>
      <c r="N1" s="1160"/>
      <c r="O1" s="1160"/>
      <c r="P1" s="1160"/>
      <c r="Q1" s="1160"/>
      <c r="R1" s="1160"/>
      <c r="S1" s="1160"/>
      <c r="T1" s="1160"/>
      <c r="U1" s="665"/>
      <c r="V1" s="323"/>
      <c r="AC1" s="357"/>
    </row>
    <row r="2" spans="1:30" ht="21" customHeight="1" x14ac:dyDescent="0.2">
      <c r="A2" s="17"/>
      <c r="B2" s="1161" t="s">
        <v>1</v>
      </c>
      <c r="C2" s="1162"/>
      <c r="D2" s="1162"/>
      <c r="E2" s="1162"/>
      <c r="F2" s="1162"/>
      <c r="G2" s="1162"/>
      <c r="H2" s="1162"/>
      <c r="I2" s="1162"/>
      <c r="J2" s="1162"/>
      <c r="K2" s="1162"/>
      <c r="L2" s="1162"/>
      <c r="M2" s="1162"/>
      <c r="N2" s="1162"/>
      <c r="O2" s="1162"/>
      <c r="P2" s="1162"/>
      <c r="Q2" s="1162"/>
      <c r="R2" s="1162"/>
      <c r="S2" s="1162"/>
      <c r="T2" s="1162"/>
      <c r="U2" s="1065"/>
      <c r="V2" s="323"/>
      <c r="W2" s="479" t="s">
        <v>707</v>
      </c>
      <c r="AC2" s="357"/>
    </row>
    <row r="3" spans="1:30" ht="33" customHeight="1" x14ac:dyDescent="0.2">
      <c r="A3" s="17"/>
      <c r="B3" s="1071" t="str">
        <f>IF(RapidAnnualProd="","Please refer to the other Results Dashboard tab for TECHTEST Results","Results Summary Plots: "&amp;Project_Title)</f>
        <v>Please refer to the other Results Dashboard tab for TECHTEST Results</v>
      </c>
      <c r="C3" s="1063"/>
      <c r="D3" s="1063"/>
      <c r="E3" s="1063"/>
      <c r="F3" s="1063"/>
      <c r="G3" s="1415" t="s">
        <v>820</v>
      </c>
      <c r="H3" s="1416"/>
      <c r="I3" s="1416"/>
      <c r="J3" s="1417"/>
      <c r="K3" s="1063"/>
      <c r="L3" s="1063"/>
      <c r="M3" s="1063"/>
      <c r="N3" s="1063"/>
      <c r="O3" s="1063"/>
      <c r="P3" s="1063"/>
      <c r="Q3" s="1063"/>
      <c r="R3" s="1063"/>
      <c r="S3" s="1063"/>
      <c r="T3" s="1063"/>
      <c r="U3" s="1072"/>
      <c r="V3" s="323"/>
      <c r="W3" s="322"/>
      <c r="X3" s="472" t="s">
        <v>710</v>
      </c>
      <c r="Y3" s="472"/>
      <c r="Z3" s="322"/>
      <c r="AA3" s="322"/>
      <c r="AB3" s="322"/>
      <c r="AC3" s="357"/>
    </row>
    <row r="4" spans="1:30" ht="33" customHeight="1" x14ac:dyDescent="0.2">
      <c r="A4" s="17"/>
      <c r="B4" s="1071"/>
      <c r="C4" s="1063"/>
      <c r="D4" s="1063"/>
      <c r="E4" s="1063"/>
      <c r="F4" s="1063"/>
      <c r="G4" s="1063"/>
      <c r="H4" s="1063"/>
      <c r="I4" s="1063"/>
      <c r="J4" s="1063"/>
      <c r="K4" s="1063"/>
      <c r="L4" s="1063"/>
      <c r="M4" s="1063"/>
      <c r="N4" s="1063"/>
      <c r="O4" s="1063"/>
      <c r="P4" s="1063"/>
      <c r="Q4" s="1063"/>
      <c r="R4" s="1063"/>
      <c r="S4" s="1063"/>
      <c r="T4" s="1063"/>
      <c r="U4" s="1072"/>
      <c r="V4" s="323"/>
      <c r="W4" s="322"/>
      <c r="X4" s="472"/>
      <c r="Y4" s="472"/>
      <c r="Z4" s="322"/>
      <c r="AA4" s="322"/>
      <c r="AB4" s="322"/>
      <c r="AC4" s="357"/>
    </row>
    <row r="5" spans="1:30" ht="18" x14ac:dyDescent="0.2">
      <c r="A5" s="17"/>
      <c r="B5" s="309"/>
      <c r="C5" s="320" t="s">
        <v>711</v>
      </c>
      <c r="D5" s="310"/>
      <c r="E5" s="310"/>
      <c r="F5" s="320" t="s">
        <v>712</v>
      </c>
      <c r="G5" s="310"/>
      <c r="H5" s="310"/>
      <c r="I5" s="320" t="s">
        <v>713</v>
      </c>
      <c r="J5" s="310"/>
      <c r="K5" s="310"/>
      <c r="L5" s="320" t="s">
        <v>714</v>
      </c>
      <c r="M5" s="310"/>
      <c r="N5" s="310"/>
      <c r="O5" s="320" t="s">
        <v>715</v>
      </c>
      <c r="P5" s="310"/>
      <c r="Q5" s="310"/>
      <c r="R5" s="320" t="s">
        <v>716</v>
      </c>
      <c r="S5" s="310"/>
      <c r="T5" s="310"/>
      <c r="U5" s="311"/>
      <c r="V5" s="323"/>
      <c r="W5" s="472"/>
      <c r="X5" s="472" t="s">
        <v>717</v>
      </c>
      <c r="Y5" s="472" t="s">
        <v>162</v>
      </c>
      <c r="Z5" s="472" t="s">
        <v>717</v>
      </c>
      <c r="AA5" s="472" t="s">
        <v>162</v>
      </c>
      <c r="AB5" s="322"/>
      <c r="AC5" s="357"/>
    </row>
    <row r="6" spans="1:30" ht="35.25" customHeight="1" x14ac:dyDescent="0.2">
      <c r="A6" s="17"/>
      <c r="B6" s="312"/>
      <c r="C6" s="1408" t="s">
        <v>718</v>
      </c>
      <c r="D6" s="1409"/>
      <c r="E6" s="313"/>
      <c r="F6" s="1408" t="s">
        <v>719</v>
      </c>
      <c r="G6" s="1409"/>
      <c r="H6" s="313"/>
      <c r="I6" s="1408" t="s">
        <v>720</v>
      </c>
      <c r="J6" s="1409"/>
      <c r="K6" s="313"/>
      <c r="L6" s="1408" t="s">
        <v>721</v>
      </c>
      <c r="M6" s="1409"/>
      <c r="N6" s="313"/>
      <c r="O6" s="1408" t="s">
        <v>722</v>
      </c>
      <c r="P6" s="1409"/>
      <c r="Q6" s="313"/>
      <c r="R6" s="1408" t="s">
        <v>723</v>
      </c>
      <c r="S6" s="1409"/>
      <c r="T6" s="310"/>
      <c r="U6" s="311"/>
      <c r="V6" s="323"/>
      <c r="W6" s="322"/>
      <c r="X6" s="322">
        <f>RpaidNewTech</f>
        <v>0</v>
      </c>
      <c r="Y6" s="322">
        <f>RapidBenchmarkTech</f>
        <v>0</v>
      </c>
      <c r="Z6" s="322" t="s">
        <v>724</v>
      </c>
      <c r="AA6" s="322" t="s">
        <v>724</v>
      </c>
      <c r="AB6" s="322"/>
      <c r="AC6" s="357"/>
    </row>
    <row r="7" spans="1:30" ht="39.75" customHeight="1" x14ac:dyDescent="0.2">
      <c r="A7" s="17"/>
      <c r="B7" s="312"/>
      <c r="C7" s="319" t="s">
        <v>725</v>
      </c>
      <c r="D7" s="319" t="s">
        <v>726</v>
      </c>
      <c r="E7" s="310"/>
      <c r="F7" s="319" t="s">
        <v>725</v>
      </c>
      <c r="G7" s="319" t="s">
        <v>726</v>
      </c>
      <c r="H7" s="310"/>
      <c r="I7" s="319" t="s">
        <v>725</v>
      </c>
      <c r="J7" s="319" t="s">
        <v>726</v>
      </c>
      <c r="K7" s="310"/>
      <c r="L7" s="319" t="s">
        <v>727</v>
      </c>
      <c r="M7" s="319" t="s">
        <v>728</v>
      </c>
      <c r="N7" s="310"/>
      <c r="O7" s="319" t="s">
        <v>727</v>
      </c>
      <c r="P7" s="319" t="s">
        <v>728</v>
      </c>
      <c r="Q7" s="310"/>
      <c r="R7" s="319" t="s">
        <v>727</v>
      </c>
      <c r="S7" s="319" t="s">
        <v>728</v>
      </c>
      <c r="T7" s="310"/>
      <c r="U7" s="311"/>
      <c r="V7" s="323"/>
      <c r="W7" s="322" t="s">
        <v>821</v>
      </c>
      <c r="X7" s="473">
        <f>'Summary Tables (Method 2)'!D41</f>
        <v>0</v>
      </c>
      <c r="Y7" s="473">
        <f>'Summary Tables (Method 2)'!E41</f>
        <v>0</v>
      </c>
      <c r="Z7" s="322" t="str">
        <f t="shared" ref="Z7:AA10" si="0">IF(X$11&gt;0,IF((X7/X$11)&gt;0.02,$W7&amp;": "&amp;TEXT(X7,"$#,##0"),""),"")</f>
        <v/>
      </c>
      <c r="AA7" s="322" t="str">
        <f t="shared" si="0"/>
        <v/>
      </c>
      <c r="AB7" s="322"/>
      <c r="AC7" s="357"/>
    </row>
    <row r="8" spans="1:30" ht="36" customHeight="1" x14ac:dyDescent="0.2">
      <c r="A8" s="17"/>
      <c r="B8" s="312"/>
      <c r="C8" s="360" t="str">
        <f>"Reference Volume:"&amp;CHAR(10)&amp;TEXT(RapidRefVolume,"#,##0")&amp;" "&amp;RapidAnnualProdUnits</f>
        <v xml:space="preserve">Reference Volume:
0 </v>
      </c>
      <c r="D8" s="360" t="str">
        <f>"Equivalent Reference Volume:"&amp;CHAR(10)&amp;TEXT(RapidRefVolumeBenchmark,"#,##0")&amp;" "&amp;RapidAnnualProdUnits</f>
        <v xml:space="preserve">Equivalent Reference Volume:
0 </v>
      </c>
      <c r="E8" s="310"/>
      <c r="F8" s="360" t="str">
        <f>"Reference Volume:"&amp;CHAR(10)&amp;TEXT(RapidRefVolume,"#,##0")&amp;" "&amp;RapidAnnualProdUnits</f>
        <v xml:space="preserve">Reference Volume:
0 </v>
      </c>
      <c r="G8" s="360" t="str">
        <f>"Equivalent Reference Volume:"&amp;CHAR(10)&amp;TEXT(RapidRefVolumeBenchmark,"#,##0")&amp;" "&amp;RapidAnnualProdUnits</f>
        <v xml:space="preserve">Equivalent Reference Volume:
0 </v>
      </c>
      <c r="H8" s="361"/>
      <c r="I8" s="360" t="str">
        <f>"Reference Volume:"&amp;CHAR(10)&amp;TEXT(RapidRefVolume,"#,##0")&amp;" "&amp;RapidAnnualProdUnits</f>
        <v xml:space="preserve">Reference Volume:
0 </v>
      </c>
      <c r="J8" s="360" t="str">
        <f>"Equivalent Reference Volume:"&amp;CHAR(10)&amp;TEXT(RapidRefVolumeBenchmark,"#,##0")&amp;" "&amp;RapidAnnualProdUnits</f>
        <v xml:space="preserve">Equivalent Reference Volume:
0 </v>
      </c>
      <c r="K8" s="361"/>
      <c r="L8" s="360" t="e">
        <f>"Hypothetical Production:"&amp;CHAR(10)&amp;TEXT(RapidPotentialProduction,"#,##0")&amp;" "&amp;RapidAnnualProdUnits</f>
        <v>#DIV/0!</v>
      </c>
      <c r="M8" s="360" t="str">
        <f>"Replaced Production:"&amp;CHAR(10)&amp;TEXT(RapidReplaceableProduction,"#,##0")&amp;" "&amp;RapidAnnualProdUnits</f>
        <v xml:space="preserve">Replaced Production:
0 </v>
      </c>
      <c r="N8" s="361"/>
      <c r="O8" s="360" t="e">
        <f>"Hypothetical Production:"&amp;CHAR(10)&amp;TEXT(RapidPotentialProduction,"#,##0")&amp;" "&amp;RapidAnnualProdUnits</f>
        <v>#DIV/0!</v>
      </c>
      <c r="P8" s="360" t="str">
        <f>"Replaced Production:"&amp;CHAR(10)&amp;TEXT(RapidReplaceableProduction,"#,##0")&amp;" "&amp;RapidAnnualProdUnits</f>
        <v xml:space="preserve">Replaced Production:
0 </v>
      </c>
      <c r="Q8" s="361"/>
      <c r="R8" s="360" t="e">
        <f>"Hypothetical Production:"&amp;CHAR(10)&amp;TEXT(RapidPotentialProduction,"#,##0")&amp;" "&amp;RapidAnnualProdUnits</f>
        <v>#DIV/0!</v>
      </c>
      <c r="S8" s="360" t="str">
        <f>"Replaced Production:"&amp;CHAR(10)&amp;TEXT(RapidReplaceableProduction,"#,##0")&amp;" "&amp;RapidAnnualProdUnits</f>
        <v xml:space="preserve">Replaced Production:
0 </v>
      </c>
      <c r="T8" s="310"/>
      <c r="U8" s="311"/>
      <c r="V8" s="323"/>
      <c r="W8" s="322" t="s">
        <v>670</v>
      </c>
      <c r="X8" s="473">
        <f>'Summary Tables (Method 2)'!D37</f>
        <v>0</v>
      </c>
      <c r="Y8" s="473">
        <f>'Summary Tables (Method 2)'!E37</f>
        <v>0</v>
      </c>
      <c r="Z8" s="322" t="str">
        <f t="shared" si="0"/>
        <v/>
      </c>
      <c r="AA8" s="322" t="str">
        <f t="shared" si="0"/>
        <v/>
      </c>
      <c r="AB8" s="322"/>
      <c r="AC8" s="357"/>
    </row>
    <row r="9" spans="1:30" s="50" customFormat="1" x14ac:dyDescent="0.2">
      <c r="A9" s="21"/>
      <c r="B9" s="362"/>
      <c r="C9" s="363">
        <f>X11</f>
        <v>0</v>
      </c>
      <c r="D9" s="363">
        <f>Y11</f>
        <v>0</v>
      </c>
      <c r="E9" s="361"/>
      <c r="F9" s="480">
        <f>X27</f>
        <v>0</v>
      </c>
      <c r="G9" s="480">
        <f>Y27</f>
        <v>0</v>
      </c>
      <c r="H9" s="361"/>
      <c r="I9" s="415">
        <f>X42</f>
        <v>0</v>
      </c>
      <c r="J9" s="415">
        <f>Y42</f>
        <v>0</v>
      </c>
      <c r="K9" s="361"/>
      <c r="L9" s="364" t="e">
        <f>TEXT(X20/1000000,"$#,##0")&amp;" million"</f>
        <v>#DIV/0!</v>
      </c>
      <c r="M9" s="364" t="e">
        <f>TEXT(Y20/1000000,"$#,##0")&amp;" million"</f>
        <v>#DIV/0!</v>
      </c>
      <c r="N9" s="361"/>
      <c r="O9" s="514" t="e">
        <f>X35</f>
        <v>#DIV/0!</v>
      </c>
      <c r="P9" s="514" t="e">
        <f>Y35</f>
        <v>#DIV/0!</v>
      </c>
      <c r="Q9" s="361"/>
      <c r="R9" s="503" t="e">
        <f>X49</f>
        <v>#DIV/0!</v>
      </c>
      <c r="S9" s="503" t="e">
        <f>Y49</f>
        <v>#DIV/0!</v>
      </c>
      <c r="T9" s="361"/>
      <c r="U9" s="365"/>
      <c r="V9" s="366"/>
      <c r="W9" s="322" t="s">
        <v>378</v>
      </c>
      <c r="X9" s="473">
        <f>'Summary Tables (Method 2)'!D38</f>
        <v>0</v>
      </c>
      <c r="Y9" s="473">
        <f>'Summary Tables (Method 2)'!E38</f>
        <v>0</v>
      </c>
      <c r="Z9" s="322" t="str">
        <f t="shared" si="0"/>
        <v/>
      </c>
      <c r="AA9" s="322" t="str">
        <f t="shared" si="0"/>
        <v/>
      </c>
      <c r="AB9" s="322"/>
      <c r="AC9" s="367"/>
      <c r="AD9" s="368"/>
    </row>
    <row r="10" spans="1:30" x14ac:dyDescent="0.2">
      <c r="A10" s="45"/>
      <c r="B10" s="312"/>
      <c r="C10" s="277"/>
      <c r="D10" s="277"/>
      <c r="E10" s="315"/>
      <c r="F10" s="277"/>
      <c r="G10" s="277"/>
      <c r="H10" s="315"/>
      <c r="I10" s="277"/>
      <c r="J10" s="277"/>
      <c r="K10" s="315"/>
      <c r="L10" s="277"/>
      <c r="M10" s="277"/>
      <c r="N10" s="315"/>
      <c r="O10" s="277"/>
      <c r="P10" s="277"/>
      <c r="Q10" s="315"/>
      <c r="R10" s="277"/>
      <c r="S10" s="277"/>
      <c r="T10" s="315"/>
      <c r="U10" s="314"/>
      <c r="V10" s="323"/>
      <c r="W10" s="322" t="s">
        <v>822</v>
      </c>
      <c r="X10" s="473">
        <f>'Summary Tables (Method 2)'!D39</f>
        <v>0</v>
      </c>
      <c r="Y10" s="473">
        <f>'Summary Tables (Method 2)'!E39</f>
        <v>0</v>
      </c>
      <c r="Z10" s="322" t="str">
        <f t="shared" si="0"/>
        <v/>
      </c>
      <c r="AA10" s="322" t="str">
        <f t="shared" si="0"/>
        <v/>
      </c>
      <c r="AB10" s="322"/>
      <c r="AC10" s="357"/>
    </row>
    <row r="11" spans="1:30" x14ac:dyDescent="0.2">
      <c r="A11" s="45"/>
      <c r="B11" s="312"/>
      <c r="C11" s="277"/>
      <c r="D11" s="277"/>
      <c r="E11" s="315"/>
      <c r="F11" s="277"/>
      <c r="G11" s="277"/>
      <c r="H11" s="315"/>
      <c r="I11" s="277"/>
      <c r="J11" s="277"/>
      <c r="K11" s="315"/>
      <c r="L11" s="277"/>
      <c r="M11" s="277"/>
      <c r="N11" s="315"/>
      <c r="O11" s="277"/>
      <c r="P11" s="277"/>
      <c r="Q11" s="315"/>
      <c r="R11" s="277"/>
      <c r="S11" s="277"/>
      <c r="T11" s="315"/>
      <c r="U11" s="314"/>
      <c r="V11" s="323"/>
      <c r="W11" s="322" t="s">
        <v>371</v>
      </c>
      <c r="X11" s="473">
        <f>SUM(X7:X10)</f>
        <v>0</v>
      </c>
      <c r="Y11" s="473">
        <f>SUM(Y7:Y10)</f>
        <v>0</v>
      </c>
      <c r="Z11" s="322"/>
      <c r="AA11" s="322"/>
      <c r="AB11" s="322"/>
      <c r="AC11" s="357"/>
    </row>
    <row r="12" spans="1:30" x14ac:dyDescent="0.2">
      <c r="A12" s="45"/>
      <c r="B12" s="312"/>
      <c r="C12" s="277"/>
      <c r="D12" s="277"/>
      <c r="E12" s="315"/>
      <c r="F12" s="277"/>
      <c r="G12" s="277"/>
      <c r="H12" s="315"/>
      <c r="I12" s="277"/>
      <c r="J12" s="277"/>
      <c r="K12" s="315"/>
      <c r="L12" s="277"/>
      <c r="M12" s="277"/>
      <c r="N12" s="315"/>
      <c r="O12" s="277"/>
      <c r="P12" s="277"/>
      <c r="Q12" s="315"/>
      <c r="R12" s="277"/>
      <c r="S12" s="277"/>
      <c r="T12" s="315"/>
      <c r="U12" s="314"/>
      <c r="V12" s="323"/>
      <c r="W12" s="322"/>
      <c r="X12" s="322"/>
      <c r="Y12" s="322"/>
      <c r="Z12" s="322"/>
      <c r="AA12" s="322"/>
      <c r="AB12" s="322"/>
      <c r="AC12" s="357"/>
    </row>
    <row r="13" spans="1:30" x14ac:dyDescent="0.2">
      <c r="A13" s="45"/>
      <c r="B13" s="312"/>
      <c r="C13" s="277"/>
      <c r="D13" s="277"/>
      <c r="E13" s="315"/>
      <c r="F13" s="277"/>
      <c r="G13" s="277"/>
      <c r="H13" s="315"/>
      <c r="I13" s="277"/>
      <c r="J13" s="277"/>
      <c r="K13" s="315"/>
      <c r="L13" s="277"/>
      <c r="M13" s="277"/>
      <c r="N13" s="315"/>
      <c r="O13" s="277"/>
      <c r="P13" s="277"/>
      <c r="Q13" s="315"/>
      <c r="R13" s="277"/>
      <c r="S13" s="277"/>
      <c r="T13" s="315"/>
      <c r="U13" s="314"/>
      <c r="V13" s="323"/>
      <c r="W13" s="322"/>
      <c r="X13" s="472" t="s">
        <v>732</v>
      </c>
      <c r="Y13" s="472"/>
      <c r="Z13" s="322"/>
      <c r="AA13" s="322"/>
      <c r="AB13" s="322"/>
      <c r="AC13" s="357"/>
    </row>
    <row r="14" spans="1:30" ht="15" customHeight="1" x14ac:dyDescent="0.2">
      <c r="A14" s="45"/>
      <c r="B14" s="312"/>
      <c r="C14" s="277"/>
      <c r="D14" s="277"/>
      <c r="E14" s="315"/>
      <c r="F14" s="277"/>
      <c r="G14" s="277"/>
      <c r="H14" s="315"/>
      <c r="I14" s="277"/>
      <c r="J14" s="277"/>
      <c r="K14" s="315"/>
      <c r="L14" s="277"/>
      <c r="M14" s="277"/>
      <c r="N14" s="315"/>
      <c r="O14" s="277"/>
      <c r="P14" s="277"/>
      <c r="Q14" s="315"/>
      <c r="R14" s="277"/>
      <c r="S14" s="277"/>
      <c r="T14" s="315"/>
      <c r="U14" s="314"/>
      <c r="V14" s="323"/>
      <c r="W14" s="472"/>
      <c r="X14" s="472" t="s">
        <v>717</v>
      </c>
      <c r="Y14" s="472" t="s">
        <v>162</v>
      </c>
      <c r="Z14" s="472" t="s">
        <v>717</v>
      </c>
      <c r="AA14" s="472" t="s">
        <v>162</v>
      </c>
      <c r="AB14" s="322"/>
      <c r="AC14" s="357"/>
    </row>
    <row r="15" spans="1:30" ht="15" customHeight="1" x14ac:dyDescent="0.2">
      <c r="A15" s="45"/>
      <c r="B15" s="312"/>
      <c r="C15" s="277"/>
      <c r="D15" s="277"/>
      <c r="E15" s="315"/>
      <c r="F15" s="277"/>
      <c r="G15" s="277"/>
      <c r="H15" s="315"/>
      <c r="I15" s="277"/>
      <c r="J15" s="277"/>
      <c r="K15" s="315"/>
      <c r="L15" s="277"/>
      <c r="M15" s="277"/>
      <c r="N15" s="315"/>
      <c r="O15" s="277"/>
      <c r="P15" s="277"/>
      <c r="Q15" s="315"/>
      <c r="R15" s="277"/>
      <c r="S15" s="277"/>
      <c r="T15" s="315"/>
      <c r="U15" s="314"/>
      <c r="V15" s="323"/>
      <c r="W15" s="322"/>
      <c r="X15" s="322">
        <f>'Summary Tables (Method 2)'!D29</f>
        <v>0</v>
      </c>
      <c r="Y15" s="322">
        <f>'Summary Tables (Method 2)'!E29</f>
        <v>0</v>
      </c>
      <c r="Z15" s="322" t="s">
        <v>724</v>
      </c>
      <c r="AA15" s="322" t="s">
        <v>724</v>
      </c>
      <c r="AB15" s="322"/>
      <c r="AC15" s="357"/>
    </row>
    <row r="16" spans="1:30" ht="15" customHeight="1" x14ac:dyDescent="0.2">
      <c r="A16" s="45"/>
      <c r="B16" s="312"/>
      <c r="C16" s="277"/>
      <c r="D16" s="277"/>
      <c r="E16" s="315"/>
      <c r="F16" s="277"/>
      <c r="G16" s="277"/>
      <c r="H16" s="315"/>
      <c r="I16" s="277"/>
      <c r="J16" s="277"/>
      <c r="K16" s="315"/>
      <c r="L16" s="277"/>
      <c r="M16" s="277"/>
      <c r="N16" s="315"/>
      <c r="O16" s="277"/>
      <c r="P16" s="277"/>
      <c r="Q16" s="315"/>
      <c r="R16" s="277"/>
      <c r="S16" s="277"/>
      <c r="T16" s="315"/>
      <c r="U16" s="314"/>
      <c r="V16" s="323"/>
      <c r="W16" s="322" t="s">
        <v>821</v>
      </c>
      <c r="X16" s="474" t="e">
        <f>'Summary Tables (Method 2)'!O41</f>
        <v>#DIV/0!</v>
      </c>
      <c r="Y16" s="474" t="e">
        <f>'Summary Tables (Method 2)'!P41</f>
        <v>#DIV/0!</v>
      </c>
      <c r="Z16" s="322" t="e">
        <f t="shared" ref="Z16:AA19" si="1">IF(X$20&gt;0,IF((X16/X$20)&gt;0.02,$W16&amp;": "&amp;TEXT(X16,"$#,##0"),""),"")</f>
        <v>#DIV/0!</v>
      </c>
      <c r="AA16" s="322" t="e">
        <f t="shared" si="1"/>
        <v>#DIV/0!</v>
      </c>
      <c r="AB16" s="322"/>
      <c r="AC16" s="357"/>
    </row>
    <row r="17" spans="1:29" ht="15" customHeight="1" x14ac:dyDescent="0.2">
      <c r="A17" s="45"/>
      <c r="B17" s="312"/>
      <c r="C17" s="277"/>
      <c r="D17" s="277"/>
      <c r="E17" s="315"/>
      <c r="F17" s="277"/>
      <c r="G17" s="277"/>
      <c r="H17" s="315"/>
      <c r="I17" s="277"/>
      <c r="J17" s="277"/>
      <c r="K17" s="315"/>
      <c r="L17" s="277"/>
      <c r="M17" s="277"/>
      <c r="N17" s="315"/>
      <c r="O17" s="277"/>
      <c r="P17" s="277"/>
      <c r="Q17" s="315"/>
      <c r="R17" s="277"/>
      <c r="S17" s="277"/>
      <c r="T17" s="315"/>
      <c r="U17" s="314"/>
      <c r="V17" s="323"/>
      <c r="W17" s="322" t="s">
        <v>670</v>
      </c>
      <c r="X17" s="474" t="e">
        <f>'Summary Tables (Method 2)'!O37</f>
        <v>#DIV/0!</v>
      </c>
      <c r="Y17" s="474" t="e">
        <f>'Summary Tables (Method 2)'!P37</f>
        <v>#DIV/0!</v>
      </c>
      <c r="Z17" s="322" t="e">
        <f t="shared" si="1"/>
        <v>#DIV/0!</v>
      </c>
      <c r="AA17" s="322" t="e">
        <f t="shared" si="1"/>
        <v>#DIV/0!</v>
      </c>
      <c r="AB17" s="322"/>
      <c r="AC17" s="357"/>
    </row>
    <row r="18" spans="1:29" ht="15" customHeight="1" x14ac:dyDescent="0.2">
      <c r="A18" s="45"/>
      <c r="B18" s="312"/>
      <c r="C18" s="277"/>
      <c r="D18" s="277"/>
      <c r="E18" s="315"/>
      <c r="F18" s="277"/>
      <c r="G18" s="277"/>
      <c r="H18" s="315"/>
      <c r="I18" s="277"/>
      <c r="J18" s="277"/>
      <c r="K18" s="315"/>
      <c r="L18" s="277"/>
      <c r="M18" s="277"/>
      <c r="N18" s="315"/>
      <c r="O18" s="277"/>
      <c r="P18" s="277"/>
      <c r="Q18" s="315"/>
      <c r="R18" s="277"/>
      <c r="S18" s="277"/>
      <c r="T18" s="315"/>
      <c r="U18" s="314"/>
      <c r="V18" s="323"/>
      <c r="W18" s="322" t="s">
        <v>378</v>
      </c>
      <c r="X18" s="474" t="e">
        <f>'Summary Tables (Method 2)'!O38</f>
        <v>#DIV/0!</v>
      </c>
      <c r="Y18" s="474" t="e">
        <f>'Summary Tables (Method 2)'!P38</f>
        <v>#DIV/0!</v>
      </c>
      <c r="Z18" s="322" t="e">
        <f t="shared" si="1"/>
        <v>#DIV/0!</v>
      </c>
      <c r="AA18" s="322" t="e">
        <f t="shared" si="1"/>
        <v>#DIV/0!</v>
      </c>
      <c r="AB18" s="322"/>
      <c r="AC18" s="357"/>
    </row>
    <row r="19" spans="1:29" ht="15" customHeight="1" x14ac:dyDescent="0.2">
      <c r="A19" s="45"/>
      <c r="B19" s="312"/>
      <c r="C19" s="277"/>
      <c r="D19" s="277"/>
      <c r="E19" s="315"/>
      <c r="F19" s="277"/>
      <c r="G19" s="277"/>
      <c r="H19" s="315"/>
      <c r="I19" s="277"/>
      <c r="J19" s="277"/>
      <c r="K19" s="315"/>
      <c r="L19" s="277"/>
      <c r="M19" s="277"/>
      <c r="N19" s="315"/>
      <c r="O19" s="277"/>
      <c r="P19" s="277"/>
      <c r="Q19" s="315"/>
      <c r="R19" s="277"/>
      <c r="S19" s="277"/>
      <c r="T19" s="315"/>
      <c r="U19" s="314"/>
      <c r="V19" s="323"/>
      <c r="W19" s="322" t="s">
        <v>822</v>
      </c>
      <c r="X19" s="474" t="e">
        <f>'Summary Tables (Method 2)'!O39</f>
        <v>#DIV/0!</v>
      </c>
      <c r="Y19" s="474" t="e">
        <f>'Summary Tables (Method 2)'!P39</f>
        <v>#DIV/0!</v>
      </c>
      <c r="Z19" s="322" t="e">
        <f t="shared" si="1"/>
        <v>#DIV/0!</v>
      </c>
      <c r="AA19" s="322" t="e">
        <f t="shared" si="1"/>
        <v>#DIV/0!</v>
      </c>
      <c r="AB19" s="322"/>
      <c r="AC19" s="357"/>
    </row>
    <row r="20" spans="1:29" ht="15" customHeight="1" x14ac:dyDescent="0.2">
      <c r="A20" s="45"/>
      <c r="B20" s="312"/>
      <c r="C20" s="277"/>
      <c r="D20" s="277"/>
      <c r="E20" s="315"/>
      <c r="F20" s="277"/>
      <c r="G20" s="277"/>
      <c r="H20" s="315"/>
      <c r="I20" s="277"/>
      <c r="J20" s="277"/>
      <c r="K20" s="315"/>
      <c r="L20" s="277"/>
      <c r="M20" s="277"/>
      <c r="N20" s="315"/>
      <c r="O20" s="277"/>
      <c r="P20" s="277"/>
      <c r="Q20" s="315"/>
      <c r="R20" s="277"/>
      <c r="S20" s="277"/>
      <c r="T20" s="315"/>
      <c r="U20" s="314"/>
      <c r="V20" s="323"/>
      <c r="W20" s="322" t="s">
        <v>371</v>
      </c>
      <c r="X20" s="474" t="e">
        <f>SUM(X16:X19)</f>
        <v>#DIV/0!</v>
      </c>
      <c r="Y20" s="474" t="e">
        <f>SUM(Y16:Y19)</f>
        <v>#DIV/0!</v>
      </c>
      <c r="Z20" s="322"/>
      <c r="AA20" s="322"/>
      <c r="AB20" s="322"/>
      <c r="AC20" s="357"/>
    </row>
    <row r="21" spans="1:29" ht="15" customHeight="1" x14ac:dyDescent="0.2">
      <c r="A21" s="45"/>
      <c r="B21" s="312"/>
      <c r="C21" s="277"/>
      <c r="D21" s="277"/>
      <c r="E21" s="315"/>
      <c r="F21" s="277"/>
      <c r="G21" s="277"/>
      <c r="H21" s="315"/>
      <c r="I21" s="277"/>
      <c r="J21" s="277"/>
      <c r="K21" s="315"/>
      <c r="L21" s="277"/>
      <c r="M21" s="277"/>
      <c r="N21" s="315"/>
      <c r="O21" s="277"/>
      <c r="P21" s="277"/>
      <c r="Q21" s="315"/>
      <c r="R21" s="277"/>
      <c r="S21" s="277"/>
      <c r="T21" s="315"/>
      <c r="U21" s="314"/>
      <c r="V21" s="323"/>
      <c r="W21" s="322"/>
      <c r="X21" s="322"/>
      <c r="Y21" s="322"/>
      <c r="Z21" s="322"/>
      <c r="AA21" s="322"/>
      <c r="AB21" s="322"/>
      <c r="AC21" s="357"/>
    </row>
    <row r="22" spans="1:29" ht="15" customHeight="1" x14ac:dyDescent="0.2">
      <c r="A22" s="45"/>
      <c r="B22" s="312"/>
      <c r="C22" s="277"/>
      <c r="D22" s="277"/>
      <c r="E22" s="315"/>
      <c r="F22" s="277"/>
      <c r="G22" s="277"/>
      <c r="H22" s="315"/>
      <c r="I22" s="277"/>
      <c r="J22" s="277"/>
      <c r="K22" s="315"/>
      <c r="L22" s="277"/>
      <c r="M22" s="277"/>
      <c r="N22" s="315"/>
      <c r="O22" s="277"/>
      <c r="P22" s="277"/>
      <c r="Q22" s="315"/>
      <c r="R22" s="277"/>
      <c r="S22" s="277"/>
      <c r="T22" s="315"/>
      <c r="U22" s="314"/>
      <c r="V22" s="323"/>
      <c r="W22" s="322"/>
      <c r="X22" s="472" t="s">
        <v>733</v>
      </c>
      <c r="Y22" s="472"/>
      <c r="Z22" s="322"/>
      <c r="AA22" s="322"/>
      <c r="AB22" s="322"/>
      <c r="AC22" s="357"/>
    </row>
    <row r="23" spans="1:29" ht="15" customHeight="1" x14ac:dyDescent="0.2">
      <c r="A23" s="45"/>
      <c r="B23" s="312"/>
      <c r="C23" s="277"/>
      <c r="D23" s="277"/>
      <c r="E23" s="315"/>
      <c r="F23" s="277"/>
      <c r="G23" s="277"/>
      <c r="H23" s="315"/>
      <c r="I23" s="277"/>
      <c r="J23" s="277"/>
      <c r="K23" s="315"/>
      <c r="L23" s="277"/>
      <c r="M23" s="277"/>
      <c r="N23" s="315"/>
      <c r="O23" s="277"/>
      <c r="P23" s="277"/>
      <c r="Q23" s="315"/>
      <c r="R23" s="277"/>
      <c r="S23" s="277"/>
      <c r="T23" s="315"/>
      <c r="U23" s="314"/>
      <c r="V23" s="323"/>
      <c r="W23" s="472"/>
      <c r="X23" s="472" t="s">
        <v>717</v>
      </c>
      <c r="Y23" s="472" t="s">
        <v>162</v>
      </c>
      <c r="Z23" s="472" t="s">
        <v>717</v>
      </c>
      <c r="AA23" s="472" t="s">
        <v>162</v>
      </c>
      <c r="AB23" s="322"/>
      <c r="AC23" s="357"/>
    </row>
    <row r="24" spans="1:29" ht="15" customHeight="1" x14ac:dyDescent="0.2">
      <c r="A24" s="45"/>
      <c r="B24" s="312"/>
      <c r="C24" s="277"/>
      <c r="D24" s="277"/>
      <c r="E24" s="315"/>
      <c r="F24" s="277"/>
      <c r="G24" s="277"/>
      <c r="H24" s="315"/>
      <c r="I24" s="277"/>
      <c r="J24" s="277"/>
      <c r="K24" s="315"/>
      <c r="L24" s="277"/>
      <c r="M24" s="277"/>
      <c r="N24" s="315"/>
      <c r="O24" s="277"/>
      <c r="P24" s="277"/>
      <c r="Q24" s="315"/>
      <c r="R24" s="277"/>
      <c r="S24" s="277"/>
      <c r="T24" s="315"/>
      <c r="U24" s="314"/>
      <c r="V24" s="323"/>
      <c r="W24" s="322"/>
      <c r="X24" s="322">
        <f>'Summary Tables (Method 2)'!D54</f>
        <v>0</v>
      </c>
      <c r="Y24" s="322">
        <f>'Summary Tables (Method 2)'!F54</f>
        <v>0</v>
      </c>
      <c r="Z24" s="322" t="s">
        <v>724</v>
      </c>
      <c r="AA24" s="322" t="s">
        <v>724</v>
      </c>
      <c r="AB24" s="322"/>
      <c r="AC24" s="357"/>
    </row>
    <row r="25" spans="1:29" ht="15" customHeight="1" x14ac:dyDescent="0.2">
      <c r="A25" s="45"/>
      <c r="B25" s="312"/>
      <c r="C25" s="277"/>
      <c r="D25" s="277"/>
      <c r="E25" s="315"/>
      <c r="F25" s="277"/>
      <c r="G25" s="277"/>
      <c r="H25" s="315"/>
      <c r="I25" s="277"/>
      <c r="J25" s="277"/>
      <c r="K25" s="315"/>
      <c r="L25" s="277"/>
      <c r="M25" s="277"/>
      <c r="N25" s="315"/>
      <c r="O25" s="277"/>
      <c r="P25" s="277"/>
      <c r="Q25" s="315"/>
      <c r="R25" s="277"/>
      <c r="S25" s="277"/>
      <c r="T25" s="315"/>
      <c r="U25" s="314"/>
      <c r="V25" s="323"/>
      <c r="W25" s="475" t="s">
        <v>670</v>
      </c>
      <c r="X25" s="476">
        <f>'Summary Tables (Method 2)'!D58</f>
        <v>0</v>
      </c>
      <c r="Y25" s="476">
        <f>'Summary Tables (Method 2)'!F58</f>
        <v>0</v>
      </c>
      <c r="Z25" s="322" t="str">
        <f>IF(X$27&gt;0,IF((X25/X$27)&gt;0.02,$W25&amp;": "&amp;CHAR(10)&amp;TEXT(X25,"#,##0.0")&amp;" MMBtu",""),"")</f>
        <v/>
      </c>
      <c r="AA25" s="322" t="str">
        <f>IF(Y$27&gt;0,IF((Y25/Y$27)&gt;0.02,$W25&amp;": "&amp;CHAR(10)&amp;TEXT(Y25,"#,##0.0")&amp;" MMBtu",""),"")</f>
        <v/>
      </c>
      <c r="AB25" s="322"/>
      <c r="AC25" s="357"/>
    </row>
    <row r="26" spans="1:29" ht="15" customHeight="1" x14ac:dyDescent="0.2">
      <c r="A26" s="45"/>
      <c r="B26" s="312"/>
      <c r="C26" s="45"/>
      <c r="D26" s="45"/>
      <c r="E26" s="315"/>
      <c r="F26" s="45"/>
      <c r="G26" s="45"/>
      <c r="H26" s="315"/>
      <c r="I26" s="45"/>
      <c r="J26" s="45"/>
      <c r="K26" s="315"/>
      <c r="L26" s="45"/>
      <c r="M26" s="45"/>
      <c r="N26" s="315"/>
      <c r="O26" s="45"/>
      <c r="P26" s="45"/>
      <c r="Q26" s="315"/>
      <c r="R26" s="45"/>
      <c r="S26" s="45"/>
      <c r="T26" s="315"/>
      <c r="U26" s="314"/>
      <c r="V26" s="323"/>
      <c r="W26" s="475" t="s">
        <v>111</v>
      </c>
      <c r="X26" s="476">
        <f>'Summary Tables (Method 2)'!D59</f>
        <v>0</v>
      </c>
      <c r="Y26" s="476">
        <f>'Summary Tables (Method 2)'!F59</f>
        <v>0</v>
      </c>
      <c r="Z26" s="322" t="str">
        <f>IF(X$27&gt;0,IF((X26/X$27)&gt;0.02,$W26&amp;": "&amp;CHAR(10)&amp;TEXT(X26,"#,##0.0")&amp;" MMBtu",""),"")</f>
        <v/>
      </c>
      <c r="AA26" s="322" t="str">
        <f>IF(Y$27&gt;0,IF((Y26/Y$27)&gt;0.02,$W26&amp;": "&amp;CHAR(10)&amp;TEXT(Y26,"#,##0.0")&amp;" MMBtu",""),"")</f>
        <v/>
      </c>
      <c r="AB26" s="322"/>
      <c r="AC26" s="357"/>
    </row>
    <row r="27" spans="1:29" ht="15" customHeight="1" x14ac:dyDescent="0.2">
      <c r="A27" s="45"/>
      <c r="B27" s="312"/>
      <c r="C27" s="45"/>
      <c r="D27" s="45"/>
      <c r="E27" s="315"/>
      <c r="F27" s="45"/>
      <c r="G27" s="45"/>
      <c r="H27" s="315"/>
      <c r="I27" s="45"/>
      <c r="J27" s="45"/>
      <c r="K27" s="315"/>
      <c r="L27" s="45"/>
      <c r="M27" s="45"/>
      <c r="N27" s="315"/>
      <c r="O27" s="45"/>
      <c r="P27" s="45"/>
      <c r="Q27" s="315"/>
      <c r="R27" s="45"/>
      <c r="S27" s="45"/>
      <c r="T27" s="315"/>
      <c r="U27" s="314"/>
      <c r="V27" s="323"/>
      <c r="W27" s="322" t="s">
        <v>371</v>
      </c>
      <c r="X27" s="476">
        <f>SUM(X25:X26)</f>
        <v>0</v>
      </c>
      <c r="Y27" s="476">
        <f>SUM(Y25:Y26)</f>
        <v>0</v>
      </c>
      <c r="Z27" s="322"/>
      <c r="AA27" s="322"/>
      <c r="AB27" s="322"/>
      <c r="AC27" s="357"/>
    </row>
    <row r="28" spans="1:29" ht="15" customHeight="1" x14ac:dyDescent="0.2">
      <c r="A28" s="45"/>
      <c r="B28" s="312"/>
      <c r="C28" s="45"/>
      <c r="D28" s="45"/>
      <c r="E28" s="315"/>
      <c r="F28" s="45"/>
      <c r="G28" s="45"/>
      <c r="H28" s="315"/>
      <c r="I28" s="45"/>
      <c r="J28" s="45"/>
      <c r="K28" s="315"/>
      <c r="L28" s="45"/>
      <c r="M28" s="45"/>
      <c r="N28" s="315"/>
      <c r="O28" s="45"/>
      <c r="P28" s="45"/>
      <c r="Q28" s="315"/>
      <c r="R28" s="45"/>
      <c r="S28" s="45"/>
      <c r="T28" s="315"/>
      <c r="U28" s="314"/>
      <c r="V28" s="323"/>
      <c r="W28" s="322"/>
      <c r="X28" s="473"/>
      <c r="Y28" s="477"/>
      <c r="Z28" s="322"/>
      <c r="AA28" s="322"/>
      <c r="AB28" s="322"/>
      <c r="AC28" s="357"/>
    </row>
    <row r="29" spans="1:29" ht="15" customHeight="1" x14ac:dyDescent="0.2">
      <c r="A29" s="45"/>
      <c r="B29" s="312"/>
      <c r="C29" s="45"/>
      <c r="D29" s="45"/>
      <c r="E29" s="315"/>
      <c r="F29" s="45"/>
      <c r="G29" s="45"/>
      <c r="H29" s="315"/>
      <c r="I29" s="45"/>
      <c r="J29" s="45"/>
      <c r="K29" s="315"/>
      <c r="L29" s="45"/>
      <c r="M29" s="45"/>
      <c r="N29" s="315"/>
      <c r="O29" s="45"/>
      <c r="P29" s="45"/>
      <c r="Q29" s="315"/>
      <c r="R29" s="45"/>
      <c r="S29" s="45"/>
      <c r="T29" s="315"/>
      <c r="U29" s="314"/>
      <c r="V29" s="323"/>
      <c r="W29" s="322"/>
      <c r="X29" s="472" t="s">
        <v>736</v>
      </c>
      <c r="Y29" s="472"/>
      <c r="Z29" s="322"/>
      <c r="AA29" s="322"/>
      <c r="AB29" s="322"/>
      <c r="AC29" s="357"/>
    </row>
    <row r="30" spans="1:29" ht="15" customHeight="1" x14ac:dyDescent="0.2">
      <c r="A30" s="45"/>
      <c r="B30" s="312"/>
      <c r="C30" s="45"/>
      <c r="D30" s="45"/>
      <c r="E30" s="315"/>
      <c r="F30" s="45"/>
      <c r="G30" s="45"/>
      <c r="H30" s="315"/>
      <c r="I30" s="45"/>
      <c r="J30" s="45"/>
      <c r="K30" s="315"/>
      <c r="L30" s="45"/>
      <c r="M30" s="45"/>
      <c r="N30" s="315"/>
      <c r="O30" s="45"/>
      <c r="P30" s="45"/>
      <c r="Q30" s="315"/>
      <c r="R30" s="45"/>
      <c r="S30" s="45"/>
      <c r="T30" s="315"/>
      <c r="U30" s="314"/>
      <c r="V30" s="323"/>
      <c r="W30" s="472"/>
      <c r="X30" s="472" t="s">
        <v>717</v>
      </c>
      <c r="Y30" s="472" t="s">
        <v>162</v>
      </c>
      <c r="Z30" s="472" t="s">
        <v>717</v>
      </c>
      <c r="AA30" s="472" t="s">
        <v>162</v>
      </c>
      <c r="AB30" s="322"/>
      <c r="AC30" s="357"/>
    </row>
    <row r="31" spans="1:29" ht="15" customHeight="1" x14ac:dyDescent="0.2">
      <c r="A31" s="45"/>
      <c r="B31" s="312"/>
      <c r="C31" s="45"/>
      <c r="D31" s="45"/>
      <c r="E31" s="315"/>
      <c r="F31" s="45"/>
      <c r="G31" s="45"/>
      <c r="H31" s="315"/>
      <c r="I31" s="45"/>
      <c r="J31" s="45"/>
      <c r="K31" s="315"/>
      <c r="L31" s="45"/>
      <c r="M31" s="45"/>
      <c r="N31" s="315"/>
      <c r="O31" s="45"/>
      <c r="P31" s="45"/>
      <c r="Q31" s="315"/>
      <c r="R31" s="45"/>
      <c r="S31" s="45"/>
      <c r="T31" s="315"/>
      <c r="U31" s="314"/>
      <c r="V31" s="323"/>
      <c r="W31" s="322"/>
      <c r="X31" s="322">
        <f>'Summary Tables (Method 2)'!D54</f>
        <v>0</v>
      </c>
      <c r="Y31" s="322">
        <f>'Summary Tables (Method 2)'!F54</f>
        <v>0</v>
      </c>
      <c r="Z31" s="322" t="s">
        <v>724</v>
      </c>
      <c r="AA31" s="322" t="s">
        <v>724</v>
      </c>
      <c r="AB31" s="322"/>
      <c r="AC31" s="357"/>
    </row>
    <row r="32" spans="1:29" ht="15" customHeight="1" x14ac:dyDescent="0.2">
      <c r="A32" s="45"/>
      <c r="B32" s="312"/>
      <c r="C32" s="45"/>
      <c r="D32" s="45"/>
      <c r="E32" s="315"/>
      <c r="F32" s="45"/>
      <c r="G32" s="45"/>
      <c r="H32" s="315"/>
      <c r="I32" s="45"/>
      <c r="J32" s="45"/>
      <c r="K32" s="315"/>
      <c r="L32" s="45"/>
      <c r="M32" s="45"/>
      <c r="N32" s="315"/>
      <c r="O32" s="45"/>
      <c r="P32" s="45"/>
      <c r="Q32" s="315"/>
      <c r="R32" s="45"/>
      <c r="S32" s="45"/>
      <c r="T32" s="315"/>
      <c r="U32" s="314"/>
      <c r="V32" s="323"/>
      <c r="W32" s="475" t="s">
        <v>670</v>
      </c>
      <c r="X32" s="590" t="e">
        <f>'Summary Tables (Method 2)'!K58</f>
        <v>#DIV/0!</v>
      </c>
      <c r="Y32" s="590" t="e">
        <f>'Summary Tables (Method 2)'!M58</f>
        <v>#DIV/0!</v>
      </c>
      <c r="Z32" s="322" t="e">
        <f>IF(X$35&gt;0,IF((X32/X$35)&gt;0.02,$W32&amp;": "&amp;CHAR(10)&amp;TEXT(X32,"#,##0.0")&amp;" TBtu",""),"")</f>
        <v>#DIV/0!</v>
      </c>
      <c r="AA32" s="322" t="e">
        <f>IF(Y$35&gt;0,IF((Y32/Y$35)&gt;0.02,$W32&amp;": "&amp;CHAR(10)&amp;TEXT(Y32,"#,##0.0")&amp;" TBtu",""),"")</f>
        <v>#DIV/0!</v>
      </c>
      <c r="AB32" s="322"/>
      <c r="AC32" s="357"/>
    </row>
    <row r="33" spans="1:29" ht="18" customHeight="1" x14ac:dyDescent="0.2">
      <c r="A33" s="45"/>
      <c r="B33" s="312"/>
      <c r="C33" s="315"/>
      <c r="D33" s="315"/>
      <c r="E33" s="315"/>
      <c r="F33" s="315"/>
      <c r="G33" s="315"/>
      <c r="H33" s="315"/>
      <c r="I33" s="315"/>
      <c r="J33" s="315"/>
      <c r="K33" s="315"/>
      <c r="L33" s="315"/>
      <c r="M33" s="315"/>
      <c r="N33" s="315"/>
      <c r="O33" s="315"/>
      <c r="P33" s="321"/>
      <c r="Q33" s="315"/>
      <c r="R33" s="315"/>
      <c r="S33" s="321"/>
      <c r="T33" s="315"/>
      <c r="U33" s="314"/>
      <c r="V33" s="323"/>
      <c r="W33" s="475" t="s">
        <v>111</v>
      </c>
      <c r="X33" s="590" t="e">
        <f>'Summary Tables (Method 2)'!K59</f>
        <v>#DIV/0!</v>
      </c>
      <c r="Y33" s="590" t="e">
        <f>'Summary Tables (Method 2)'!M59</f>
        <v>#DIV/0!</v>
      </c>
      <c r="Z33" s="322" t="e">
        <f t="shared" ref="Z33:AA34" si="2">IF(X$35&gt;0,IF((X33/X$35)&gt;0.02,$W33&amp;": "&amp;CHAR(10)&amp;TEXT(X33,"#,##0.0")&amp;" TBtu",""),"")</f>
        <v>#DIV/0!</v>
      </c>
      <c r="AA33" s="322" t="e">
        <f t="shared" si="2"/>
        <v>#DIV/0!</v>
      </c>
      <c r="AB33" s="322"/>
      <c r="AC33" s="357"/>
    </row>
    <row r="34" spans="1:29" ht="42" customHeight="1" x14ac:dyDescent="0.2">
      <c r="A34" s="45"/>
      <c r="B34" s="312"/>
      <c r="C34" s="1407" t="s">
        <v>737</v>
      </c>
      <c r="D34" s="1407"/>
      <c r="E34" s="324"/>
      <c r="F34" s="1407" t="s">
        <v>738</v>
      </c>
      <c r="G34" s="1407"/>
      <c r="H34" s="324"/>
      <c r="I34" s="1407" t="s">
        <v>739</v>
      </c>
      <c r="J34" s="1407"/>
      <c r="K34" s="324"/>
      <c r="L34" s="1407" t="s">
        <v>740</v>
      </c>
      <c r="M34" s="1407"/>
      <c r="N34" s="324"/>
      <c r="O34" s="1407" t="s">
        <v>741</v>
      </c>
      <c r="P34" s="1407"/>
      <c r="Q34" s="324"/>
      <c r="R34" s="1407" t="s">
        <v>741</v>
      </c>
      <c r="S34" s="1407"/>
      <c r="T34" s="315"/>
      <c r="U34" s="314"/>
      <c r="V34" s="323"/>
      <c r="W34" s="475" t="s">
        <v>693</v>
      </c>
      <c r="X34" s="590">
        <f>'Summary Tables (Method 2)'!K60</f>
        <v>0</v>
      </c>
      <c r="Y34" s="590">
        <f>'Summary Tables (Method 2)'!M60</f>
        <v>0</v>
      </c>
      <c r="Z34" s="322" t="e">
        <f t="shared" si="2"/>
        <v>#DIV/0!</v>
      </c>
      <c r="AA34" s="322" t="e">
        <f t="shared" si="2"/>
        <v>#DIV/0!</v>
      </c>
      <c r="AB34" s="322"/>
      <c r="AC34" s="357"/>
    </row>
    <row r="35" spans="1:29" ht="15" customHeight="1" x14ac:dyDescent="0.2">
      <c r="A35" s="45"/>
      <c r="B35" s="312"/>
      <c r="C35" s="340">
        <f>Y11-X11</f>
        <v>0</v>
      </c>
      <c r="D35" s="325" t="s">
        <v>742</v>
      </c>
      <c r="E35" s="325"/>
      <c r="F35" s="341">
        <f>Y27-X27</f>
        <v>0</v>
      </c>
      <c r="G35" s="325" t="s">
        <v>742</v>
      </c>
      <c r="H35" s="325"/>
      <c r="I35" s="408">
        <f>Y42-X42</f>
        <v>0</v>
      </c>
      <c r="J35" s="325" t="s">
        <v>742</v>
      </c>
      <c r="K35" s="325"/>
      <c r="L35" s="325" t="e">
        <f>(Y20-X20)*0.000001</f>
        <v>#DIV/0!</v>
      </c>
      <c r="M35" s="325" t="s">
        <v>743</v>
      </c>
      <c r="N35" s="325"/>
      <c r="O35" s="509" t="e">
        <f>'Rapid Results Dashboard'!Y35-'Rapid Results Dashboard'!X35</f>
        <v>#DIV/0!</v>
      </c>
      <c r="P35" s="325" t="s">
        <v>743</v>
      </c>
      <c r="Q35" s="325"/>
      <c r="R35" s="508" t="e">
        <f>Y49-X49</f>
        <v>#DIV/0!</v>
      </c>
      <c r="S35" s="325" t="s">
        <v>743</v>
      </c>
      <c r="T35" s="315"/>
      <c r="U35" s="314"/>
      <c r="V35" s="323"/>
      <c r="W35" s="322" t="s">
        <v>371</v>
      </c>
      <c r="X35" s="590" t="e">
        <f>SUM(X32:X34)</f>
        <v>#DIV/0!</v>
      </c>
      <c r="Y35" s="590" t="e">
        <f>SUM(Y32:Y34)</f>
        <v>#DIV/0!</v>
      </c>
      <c r="Z35" s="322"/>
      <c r="AA35" s="322"/>
      <c r="AB35" s="322"/>
      <c r="AC35" s="357"/>
    </row>
    <row r="36" spans="1:29" ht="51" x14ac:dyDescent="0.2">
      <c r="A36" s="45"/>
      <c r="B36" s="312"/>
      <c r="C36" s="342" t="e">
        <f>C35/Y11</f>
        <v>#DIV/0!</v>
      </c>
      <c r="D36" s="344" t="s">
        <v>744</v>
      </c>
      <c r="E36" s="343"/>
      <c r="F36" s="342" t="e">
        <f>F35/Y27</f>
        <v>#DIV/0!</v>
      </c>
      <c r="G36" s="344" t="s">
        <v>745</v>
      </c>
      <c r="H36" s="343"/>
      <c r="I36" s="342" t="e">
        <f>I35/Y42</f>
        <v>#DIV/0!</v>
      </c>
      <c r="J36" s="344" t="s">
        <v>745</v>
      </c>
      <c r="K36" s="343"/>
      <c r="L36" s="342" t="e">
        <f>(Y20-X20)/Y20</f>
        <v>#DIV/0!</v>
      </c>
      <c r="M36" s="344" t="s">
        <v>744</v>
      </c>
      <c r="N36" s="343"/>
      <c r="O36" s="342" t="e">
        <f>O35/Y35</f>
        <v>#DIV/0!</v>
      </c>
      <c r="P36" s="344" t="s">
        <v>746</v>
      </c>
      <c r="Q36" s="343"/>
      <c r="R36" s="342" t="e">
        <f>R35/Y49</f>
        <v>#DIV/0!</v>
      </c>
      <c r="S36" s="344" t="s">
        <v>747</v>
      </c>
      <c r="T36" s="345"/>
      <c r="U36" s="314"/>
      <c r="V36" s="323"/>
      <c r="W36" s="322"/>
      <c r="X36" s="322"/>
      <c r="Y36" s="322"/>
      <c r="Z36" s="322"/>
      <c r="AA36" s="322"/>
      <c r="AB36" s="322"/>
      <c r="AC36" s="357"/>
    </row>
    <row r="37" spans="1:29" ht="16" x14ac:dyDescent="0.2">
      <c r="A37" s="45"/>
      <c r="B37" s="312"/>
      <c r="C37" s="342"/>
      <c r="D37" s="344"/>
      <c r="E37" s="343"/>
      <c r="F37" s="342"/>
      <c r="G37" s="344"/>
      <c r="H37" s="343"/>
      <c r="I37" s="342"/>
      <c r="J37" s="344"/>
      <c r="K37" s="343"/>
      <c r="L37" s="342"/>
      <c r="M37" s="344"/>
      <c r="N37" s="343"/>
      <c r="O37" s="342"/>
      <c r="P37" s="344"/>
      <c r="Q37" s="343"/>
      <c r="R37" s="342"/>
      <c r="S37" s="344"/>
      <c r="T37" s="345"/>
      <c r="U37" s="314"/>
      <c r="V37" s="323"/>
      <c r="W37" s="322"/>
      <c r="X37" s="472" t="s">
        <v>760</v>
      </c>
      <c r="Y37" s="472"/>
      <c r="Z37" s="322"/>
      <c r="AA37" s="322"/>
      <c r="AB37" s="322"/>
      <c r="AC37" s="357"/>
    </row>
    <row r="38" spans="1:29" ht="15" customHeight="1" x14ac:dyDescent="0.2">
      <c r="A38" s="45"/>
      <c r="B38" s="312"/>
      <c r="C38" s="339" t="s">
        <v>749</v>
      </c>
      <c r="D38" s="326"/>
      <c r="E38" s="315"/>
      <c r="F38" s="339" t="s">
        <v>750</v>
      </c>
      <c r="G38" s="326"/>
      <c r="H38" s="315"/>
      <c r="I38" s="339" t="s">
        <v>751</v>
      </c>
      <c r="J38" s="326"/>
      <c r="K38" s="315"/>
      <c r="L38" s="339" t="s">
        <v>752</v>
      </c>
      <c r="M38" s="326"/>
      <c r="N38" s="315"/>
      <c r="O38" s="339" t="s">
        <v>753</v>
      </c>
      <c r="P38" s="326"/>
      <c r="Q38" s="315"/>
      <c r="R38" s="339" t="s">
        <v>754</v>
      </c>
      <c r="S38" s="326"/>
      <c r="T38" s="315"/>
      <c r="U38" s="314"/>
      <c r="V38" s="323"/>
      <c r="W38" s="472"/>
      <c r="X38" s="472" t="s">
        <v>717</v>
      </c>
      <c r="Y38" s="472" t="s">
        <v>162</v>
      </c>
      <c r="Z38" s="472" t="s">
        <v>717</v>
      </c>
      <c r="AA38" s="472" t="s">
        <v>162</v>
      </c>
      <c r="AB38" s="322"/>
      <c r="AC38" s="357"/>
    </row>
    <row r="39" spans="1:29" ht="15" customHeight="1" x14ac:dyDescent="0.2">
      <c r="A39" s="45"/>
      <c r="B39" s="312"/>
      <c r="C39" s="333" t="s">
        <v>755</v>
      </c>
      <c r="D39" s="334" t="s">
        <v>756</v>
      </c>
      <c r="E39" s="315"/>
      <c r="F39" s="328" t="s">
        <v>757</v>
      </c>
      <c r="G39" s="327" t="s">
        <v>758</v>
      </c>
      <c r="H39" s="315"/>
      <c r="I39" s="333" t="s">
        <v>757</v>
      </c>
      <c r="J39" s="334" t="s">
        <v>759</v>
      </c>
      <c r="K39" s="315"/>
      <c r="L39" s="333" t="s">
        <v>755</v>
      </c>
      <c r="M39" s="334" t="s">
        <v>756</v>
      </c>
      <c r="N39" s="315"/>
      <c r="O39" s="328" t="s">
        <v>757</v>
      </c>
      <c r="P39" s="327" t="s">
        <v>758</v>
      </c>
      <c r="Q39" s="315"/>
      <c r="R39" s="333" t="s">
        <v>757</v>
      </c>
      <c r="S39" s="334" t="s">
        <v>759</v>
      </c>
      <c r="T39" s="315"/>
      <c r="U39" s="314"/>
      <c r="V39" s="323"/>
      <c r="W39" s="322"/>
      <c r="X39" s="322">
        <f>'Summary Tables (Method 2)'!D54</f>
        <v>0</v>
      </c>
      <c r="Y39" s="322">
        <f>'Summary Tables (Method 2)'!F54</f>
        <v>0</v>
      </c>
      <c r="Z39" s="322" t="s">
        <v>724</v>
      </c>
      <c r="AA39" s="322" t="s">
        <v>724</v>
      </c>
      <c r="AB39" s="322"/>
      <c r="AC39" s="357"/>
    </row>
    <row r="40" spans="1:29" x14ac:dyDescent="0.2">
      <c r="A40" s="45"/>
      <c r="B40" s="312"/>
      <c r="C40" s="329" t="s">
        <v>761</v>
      </c>
      <c r="D40" s="335">
        <f>Y7-X7</f>
        <v>0</v>
      </c>
      <c r="E40" s="315"/>
      <c r="F40" s="329" t="s">
        <v>670</v>
      </c>
      <c r="G40" s="350">
        <f>Y25-X25</f>
        <v>0</v>
      </c>
      <c r="H40" s="315"/>
      <c r="I40" s="329" t="s">
        <v>670</v>
      </c>
      <c r="J40" s="412">
        <f>Y40-X40</f>
        <v>0</v>
      </c>
      <c r="K40" s="315"/>
      <c r="L40" s="329" t="s">
        <v>761</v>
      </c>
      <c r="M40" s="370" t="e">
        <f>(Y16-X16)*0.000001</f>
        <v>#DIV/0!</v>
      </c>
      <c r="N40" s="315"/>
      <c r="O40" s="329" t="s">
        <v>762</v>
      </c>
      <c r="P40" s="510" t="e">
        <f>Y32-X32</f>
        <v>#DIV/0!</v>
      </c>
      <c r="Q40" s="315"/>
      <c r="R40" s="329" t="s">
        <v>762</v>
      </c>
      <c r="S40" s="505" t="e">
        <f>Y46-X46</f>
        <v>#DIV/0!</v>
      </c>
      <c r="T40" s="315"/>
      <c r="U40" s="314"/>
      <c r="V40" s="45"/>
      <c r="W40" s="475" t="s">
        <v>670</v>
      </c>
      <c r="X40" s="478">
        <f>'Summary Tables (Method 2)'!E58</f>
        <v>0</v>
      </c>
      <c r="Y40" s="478">
        <f>'Summary Tables (Method 2)'!G58</f>
        <v>0</v>
      </c>
      <c r="Z40" s="322" t="str">
        <f>IF(X$42&gt;0,IF((X40/X$42)&gt;0.02,$W40&amp;": "&amp;CHAR(10)&amp;TEXT(X40,"#,##0")&amp;" lbs CO2-e",""),"")</f>
        <v/>
      </c>
      <c r="AA40" s="322" t="str">
        <f>IF(Y$42&gt;0,IF((Y40/Y$42)&gt;0.02,$W40&amp;": "&amp;CHAR(10)&amp;TEXT(Y40,"#,##0")&amp;" lbs CO2-e",""),"")</f>
        <v/>
      </c>
      <c r="AB40" s="322"/>
    </row>
    <row r="41" spans="1:29" ht="15" customHeight="1" x14ac:dyDescent="0.2">
      <c r="A41" s="45"/>
      <c r="B41" s="312"/>
      <c r="C41" s="330" t="s">
        <v>670</v>
      </c>
      <c r="D41" s="336">
        <f>Y8-X8</f>
        <v>0</v>
      </c>
      <c r="E41" s="315"/>
      <c r="F41" s="330" t="s">
        <v>111</v>
      </c>
      <c r="G41" s="351">
        <f>Y26-X26</f>
        <v>0</v>
      </c>
      <c r="H41" s="315"/>
      <c r="I41" s="331" t="s">
        <v>111</v>
      </c>
      <c r="J41" s="413">
        <f>Y41-X41</f>
        <v>0</v>
      </c>
      <c r="K41" s="315"/>
      <c r="L41" s="330" t="s">
        <v>670</v>
      </c>
      <c r="M41" s="371" t="e">
        <f>(Y17-X17)*0.000001</f>
        <v>#DIV/0!</v>
      </c>
      <c r="N41" s="315"/>
      <c r="O41" s="330" t="s">
        <v>111</v>
      </c>
      <c r="P41" s="511" t="e">
        <f>Y33-X33</f>
        <v>#DIV/0!</v>
      </c>
      <c r="Q41" s="315"/>
      <c r="R41" s="330" t="s">
        <v>111</v>
      </c>
      <c r="S41" s="506" t="e">
        <f t="shared" ref="S41:S42" si="3">Y47-X47</f>
        <v>#DIV/0!</v>
      </c>
      <c r="T41" s="315"/>
      <c r="U41" s="314"/>
      <c r="V41" s="45"/>
      <c r="W41" s="475" t="s">
        <v>111</v>
      </c>
      <c r="X41" s="478">
        <f>'Summary Tables (Method 2)'!E59</f>
        <v>0</v>
      </c>
      <c r="Y41" s="478">
        <f>'Summary Tables (Method 2)'!G59</f>
        <v>0</v>
      </c>
      <c r="Z41" s="322" t="str">
        <f>IF(X$42&gt;0,IF((X41/X$42)&gt;0.02,$W41&amp;": "&amp;CHAR(10)&amp;TEXT(X41,"#,##0")&amp;" lbs CO2-e",""),"")</f>
        <v/>
      </c>
      <c r="AA41" s="322" t="str">
        <f>IF(Y$42&gt;0,IF((Y41/Y$42)&gt;0.02,$W41&amp;": "&amp;CHAR(10)&amp;TEXT(Y41,"#,##0")&amp;" lbs CO2-e",""),"")</f>
        <v/>
      </c>
      <c r="AB41" s="322"/>
    </row>
    <row r="42" spans="1:29" ht="15" customHeight="1" x14ac:dyDescent="0.2">
      <c r="A42" s="45"/>
      <c r="B42" s="312"/>
      <c r="C42" s="330" t="s">
        <v>763</v>
      </c>
      <c r="D42" s="336">
        <f>Y9-X9</f>
        <v>0</v>
      </c>
      <c r="E42" s="315"/>
      <c r="F42" s="332" t="s">
        <v>764</v>
      </c>
      <c r="G42" s="352">
        <f>SUM(G40:G41)</f>
        <v>0</v>
      </c>
      <c r="H42" s="315"/>
      <c r="I42" s="331" t="s">
        <v>764</v>
      </c>
      <c r="J42" s="413">
        <f>SUM(J40:J41)</f>
        <v>0</v>
      </c>
      <c r="K42" s="315"/>
      <c r="L42" s="330" t="s">
        <v>763</v>
      </c>
      <c r="M42" s="371" t="e">
        <f>(Y18-X18)*0.000001</f>
        <v>#DIV/0!</v>
      </c>
      <c r="N42" s="315"/>
      <c r="O42" s="331" t="s">
        <v>693</v>
      </c>
      <c r="P42" s="512">
        <f>Y34-X34</f>
        <v>0</v>
      </c>
      <c r="Q42" s="315"/>
      <c r="R42" s="331" t="s">
        <v>693</v>
      </c>
      <c r="S42" s="507">
        <f t="shared" si="3"/>
        <v>0</v>
      </c>
      <c r="T42" s="315"/>
      <c r="U42" s="314"/>
      <c r="V42" s="45"/>
      <c r="W42" s="322" t="s">
        <v>371</v>
      </c>
      <c r="X42" s="478">
        <f>SUM(X40:X41)</f>
        <v>0</v>
      </c>
      <c r="Y42" s="478">
        <f>SUM(Y40:Y41)</f>
        <v>0</v>
      </c>
      <c r="Z42" s="322"/>
      <c r="AA42" s="322"/>
      <c r="AB42" s="322"/>
    </row>
    <row r="43" spans="1:29" ht="15" customHeight="1" x14ac:dyDescent="0.2">
      <c r="A43" s="45"/>
      <c r="B43" s="312"/>
      <c r="C43" s="330" t="s">
        <v>671</v>
      </c>
      <c r="D43" s="336">
        <f>Y10-X10</f>
        <v>0</v>
      </c>
      <c r="E43" s="315"/>
      <c r="F43" s="315"/>
      <c r="G43" s="315"/>
      <c r="H43" s="315"/>
      <c r="I43" s="315"/>
      <c r="J43" s="315"/>
      <c r="K43" s="315"/>
      <c r="L43" s="330" t="s">
        <v>671</v>
      </c>
      <c r="M43" s="371" t="e">
        <f>(Y19-X19)*0.000001</f>
        <v>#DIV/0!</v>
      </c>
      <c r="N43" s="315"/>
      <c r="O43" s="332" t="s">
        <v>764</v>
      </c>
      <c r="P43" s="513" t="e">
        <f>SUM(P40:P42)</f>
        <v>#DIV/0!</v>
      </c>
      <c r="Q43" s="315"/>
      <c r="R43" s="331" t="s">
        <v>764</v>
      </c>
      <c r="S43" s="507" t="e">
        <f>SUM(S40:S42)</f>
        <v>#DIV/0!</v>
      </c>
      <c r="T43" s="315"/>
      <c r="U43" s="314"/>
      <c r="V43" s="45"/>
      <c r="W43" s="322"/>
      <c r="X43" s="473"/>
      <c r="Y43" s="477"/>
      <c r="Z43" s="322"/>
      <c r="AA43" s="322"/>
      <c r="AB43" s="322"/>
    </row>
    <row r="44" spans="1:29" ht="15" customHeight="1" x14ac:dyDescent="0.2">
      <c r="A44" s="45"/>
      <c r="B44" s="312"/>
      <c r="C44" s="332" t="s">
        <v>767</v>
      </c>
      <c r="D44" s="639">
        <f>SUM(D40:D43)</f>
        <v>0</v>
      </c>
      <c r="E44" s="315"/>
      <c r="F44" s="315"/>
      <c r="G44" s="315"/>
      <c r="H44" s="315"/>
      <c r="I44" s="315"/>
      <c r="J44" s="315"/>
      <c r="K44" s="315"/>
      <c r="L44" s="332" t="s">
        <v>767</v>
      </c>
      <c r="M44" s="372" t="e">
        <f>SUM(M40:M43)</f>
        <v>#DIV/0!</v>
      </c>
      <c r="N44" s="315"/>
      <c r="O44" s="337"/>
      <c r="P44" s="315"/>
      <c r="Q44" s="356"/>
      <c r="R44" s="356"/>
      <c r="S44" s="315"/>
      <c r="T44" s="315"/>
      <c r="U44" s="314"/>
      <c r="V44" s="45"/>
      <c r="W44" s="472"/>
      <c r="X44" s="472" t="s">
        <v>717</v>
      </c>
      <c r="Y44" s="472" t="s">
        <v>162</v>
      </c>
      <c r="Z44" s="472" t="s">
        <v>717</v>
      </c>
      <c r="AA44" s="472" t="s">
        <v>162</v>
      </c>
      <c r="AB44" s="322"/>
    </row>
    <row r="45" spans="1:29" ht="15" customHeight="1" x14ac:dyDescent="0.2">
      <c r="A45" s="45"/>
      <c r="B45" s="312"/>
      <c r="C45" s="337"/>
      <c r="D45" s="409"/>
      <c r="E45" s="315"/>
      <c r="F45" s="315"/>
      <c r="G45" s="315"/>
      <c r="H45" s="315"/>
      <c r="I45" s="315"/>
      <c r="J45" s="315"/>
      <c r="K45" s="315"/>
      <c r="L45" s="337"/>
      <c r="M45" s="414"/>
      <c r="N45" s="315"/>
      <c r="O45" s="337"/>
      <c r="P45" s="315"/>
      <c r="Q45" s="356"/>
      <c r="R45" s="356"/>
      <c r="S45" s="315"/>
      <c r="T45" s="315"/>
      <c r="U45" s="314"/>
      <c r="V45" s="45"/>
      <c r="W45" s="322"/>
      <c r="X45" s="322">
        <f>'Summary Tables (Method 2)'!K54</f>
        <v>0</v>
      </c>
      <c r="Y45" s="322">
        <f>'Summary Tables (Method 2)'!M54</f>
        <v>0</v>
      </c>
      <c r="Z45" s="322" t="s">
        <v>724</v>
      </c>
      <c r="AA45" s="322" t="s">
        <v>724</v>
      </c>
      <c r="AB45" s="322"/>
    </row>
    <row r="46" spans="1:29" ht="15" customHeight="1" x14ac:dyDescent="0.2">
      <c r="A46" s="45"/>
      <c r="B46" s="312"/>
      <c r="C46" s="356" t="s">
        <v>768</v>
      </c>
      <c r="D46" s="315"/>
      <c r="E46" s="315"/>
      <c r="F46" s="315"/>
      <c r="G46" s="315"/>
      <c r="H46" s="315"/>
      <c r="I46" s="315"/>
      <c r="J46" s="315"/>
      <c r="K46" s="315"/>
      <c r="L46" s="337"/>
      <c r="M46" s="338"/>
      <c r="N46" s="315"/>
      <c r="O46" s="337"/>
      <c r="P46" s="315"/>
      <c r="Q46" s="337"/>
      <c r="R46" s="337"/>
      <c r="S46" s="315"/>
      <c r="T46" s="315"/>
      <c r="U46" s="314"/>
      <c r="V46" s="45"/>
      <c r="W46" s="475" t="s">
        <v>670</v>
      </c>
      <c r="X46" s="504" t="e">
        <f>'Summary Tables (Method 2)'!L58</f>
        <v>#DIV/0!</v>
      </c>
      <c r="Y46" s="504" t="e">
        <f>'Summary Tables (Method 2)'!N58</f>
        <v>#DIV/0!</v>
      </c>
      <c r="Z46" s="322" t="e">
        <f>IF(X$49&gt;0,IF((X46/X$49)&gt;0.02,$W46&amp;": "&amp;CHAR(10)&amp;TEXT(X46,"#,##0.0")&amp;" million tons CO2-e",""),"")</f>
        <v>#DIV/0!</v>
      </c>
      <c r="AA46" s="322" t="e">
        <f>IF(Y$49&gt;0,IF((Y46/Y$49)&gt;0.02,$W46&amp;": "&amp;CHAR(10)&amp;TEXT(Y46,"#,##0.0")&amp;" million tons CO2-e",""),"")</f>
        <v>#DIV/0!</v>
      </c>
      <c r="AB46" s="322"/>
    </row>
    <row r="47" spans="1:29" ht="15" customHeight="1" x14ac:dyDescent="0.2">
      <c r="A47" s="45"/>
      <c r="B47" s="312"/>
      <c r="C47" s="337" t="s">
        <v>769</v>
      </c>
      <c r="D47" s="346">
        <f>1</f>
        <v>1</v>
      </c>
      <c r="E47" s="315"/>
      <c r="F47" s="315"/>
      <c r="G47" s="315"/>
      <c r="H47" s="315"/>
      <c r="I47" s="315"/>
      <c r="J47" s="315"/>
      <c r="K47" s="315"/>
      <c r="L47" s="337"/>
      <c r="M47" s="338"/>
      <c r="N47" s="315"/>
      <c r="O47" s="337"/>
      <c r="P47" s="315"/>
      <c r="Q47" s="337"/>
      <c r="R47" s="337"/>
      <c r="S47" s="315"/>
      <c r="T47" s="315"/>
      <c r="U47" s="314"/>
      <c r="V47" s="45"/>
      <c r="W47" s="475" t="s">
        <v>111</v>
      </c>
      <c r="X47" s="504" t="e">
        <f>'Summary Tables (Method 2)'!L59</f>
        <v>#DIV/0!</v>
      </c>
      <c r="Y47" s="504" t="e">
        <f>'Summary Tables (Method 2)'!N59</f>
        <v>#DIV/0!</v>
      </c>
      <c r="Z47" s="322" t="e">
        <f t="shared" ref="Z47:AA48" si="4">IF(X$49&gt;0,IF((X47/X$49)&gt;0.02,$W47&amp;": "&amp;CHAR(10)&amp;TEXT(X47,"#,##0.0")&amp;" million tons CO2-e",""),"")</f>
        <v>#DIV/0!</v>
      </c>
      <c r="AA47" s="322" t="e">
        <f t="shared" si="4"/>
        <v>#DIV/0!</v>
      </c>
      <c r="AB47" s="322"/>
    </row>
    <row r="48" spans="1:29" ht="15" customHeight="1" x14ac:dyDescent="0.2">
      <c r="A48" s="45"/>
      <c r="B48" s="312"/>
      <c r="C48" s="337" t="s">
        <v>770</v>
      </c>
      <c r="D48" s="346">
        <f>0</f>
        <v>0</v>
      </c>
      <c r="E48" s="315"/>
      <c r="F48" s="315"/>
      <c r="G48" s="315"/>
      <c r="H48" s="315"/>
      <c r="I48" s="315"/>
      <c r="J48" s="315"/>
      <c r="K48" s="315"/>
      <c r="L48" s="337"/>
      <c r="M48" s="338"/>
      <c r="N48" s="315"/>
      <c r="O48" s="337"/>
      <c r="P48" s="315"/>
      <c r="Q48" s="337"/>
      <c r="R48" s="337"/>
      <c r="S48" s="315"/>
      <c r="T48" s="315"/>
      <c r="U48" s="314"/>
      <c r="V48" s="45"/>
      <c r="W48" s="475" t="s">
        <v>693</v>
      </c>
      <c r="X48" s="504">
        <f>'Summary Tables (Method 2)'!L60</f>
        <v>0</v>
      </c>
      <c r="Y48" s="504">
        <f>'Summary Tables (Method 2)'!N60</f>
        <v>0</v>
      </c>
      <c r="Z48" s="322" t="e">
        <f t="shared" si="4"/>
        <v>#DIV/0!</v>
      </c>
      <c r="AA48" s="322" t="e">
        <f t="shared" si="4"/>
        <v>#DIV/0!</v>
      </c>
      <c r="AB48" s="322"/>
    </row>
    <row r="49" spans="1:28" x14ac:dyDescent="0.2">
      <c r="A49" s="45"/>
      <c r="B49" s="312"/>
      <c r="C49" s="337" t="s">
        <v>771</v>
      </c>
      <c r="D49" s="346">
        <f>-1</f>
        <v>-1</v>
      </c>
      <c r="E49" s="315"/>
      <c r="F49" s="315"/>
      <c r="G49" s="315"/>
      <c r="H49" s="315"/>
      <c r="I49" s="315"/>
      <c r="J49" s="315"/>
      <c r="K49" s="315"/>
      <c r="L49" s="337"/>
      <c r="M49" s="338"/>
      <c r="N49" s="315"/>
      <c r="O49" s="337"/>
      <c r="P49" s="338"/>
      <c r="Q49" s="338"/>
      <c r="R49" s="338"/>
      <c r="S49" s="338"/>
      <c r="T49" s="315"/>
      <c r="U49" s="314"/>
      <c r="V49" s="45"/>
      <c r="W49" s="322" t="s">
        <v>371</v>
      </c>
      <c r="X49" s="504" t="e">
        <f>SUM(X46:X48)</f>
        <v>#DIV/0!</v>
      </c>
      <c r="Y49" s="504" t="e">
        <f>SUM(Y46:Y48)</f>
        <v>#DIV/0!</v>
      </c>
      <c r="Z49" s="322"/>
      <c r="AA49" s="322"/>
      <c r="AB49" s="322"/>
    </row>
    <row r="50" spans="1:28" x14ac:dyDescent="0.2">
      <c r="A50" s="45"/>
      <c r="B50" s="316"/>
      <c r="C50" s="347"/>
      <c r="D50" s="410"/>
      <c r="E50" s="318"/>
      <c r="F50" s="318"/>
      <c r="G50" s="318"/>
      <c r="H50" s="318"/>
      <c r="I50" s="318"/>
      <c r="J50" s="318"/>
      <c r="K50" s="318"/>
      <c r="L50" s="347"/>
      <c r="M50" s="348"/>
      <c r="N50" s="318"/>
      <c r="O50" s="347"/>
      <c r="P50" s="348"/>
      <c r="Q50" s="348"/>
      <c r="R50" s="348"/>
      <c r="S50" s="348"/>
      <c r="T50" s="318"/>
      <c r="U50" s="317"/>
      <c r="V50" s="45"/>
      <c r="W50" s="322"/>
      <c r="X50" s="322"/>
      <c r="Y50" s="322"/>
      <c r="Z50" s="322"/>
      <c r="AA50" s="322"/>
      <c r="AB50" s="322"/>
    </row>
    <row r="51" spans="1:28" x14ac:dyDescent="0.2">
      <c r="A51" s="45"/>
      <c r="B51" s="349"/>
      <c r="C51" s="349"/>
      <c r="D51" s="45"/>
      <c r="E51" s="45"/>
      <c r="F51" s="45"/>
      <c r="G51" s="45"/>
      <c r="H51" s="45"/>
      <c r="I51" s="45"/>
      <c r="J51" s="45"/>
      <c r="K51" s="45"/>
      <c r="L51" s="45"/>
      <c r="M51" s="45"/>
      <c r="N51" s="45"/>
      <c r="O51" s="45"/>
      <c r="P51" s="45"/>
      <c r="Q51" s="45"/>
      <c r="R51" s="45"/>
      <c r="S51" s="45"/>
      <c r="T51" s="45"/>
      <c r="U51" s="45"/>
      <c r="V51" s="45"/>
    </row>
    <row r="52" spans="1:28" x14ac:dyDescent="0.2">
      <c r="A52" s="45"/>
      <c r="B52" s="45"/>
      <c r="C52" s="45"/>
      <c r="D52" s="45"/>
      <c r="E52" s="45"/>
      <c r="F52" s="45"/>
      <c r="G52" s="45"/>
      <c r="H52" s="45"/>
      <c r="I52" s="45"/>
      <c r="J52" s="45"/>
      <c r="K52" s="45"/>
      <c r="L52" s="45"/>
      <c r="M52" s="45"/>
      <c r="N52" s="45"/>
      <c r="O52" s="45"/>
      <c r="P52" s="45"/>
      <c r="Q52" s="45"/>
      <c r="R52" s="45"/>
      <c r="S52" s="45"/>
      <c r="T52" s="45"/>
      <c r="U52" s="45"/>
      <c r="V52" s="45"/>
    </row>
  </sheetData>
  <mergeCells count="15">
    <mergeCell ref="R34:S34"/>
    <mergeCell ref="B1:T1"/>
    <mergeCell ref="B2:T2"/>
    <mergeCell ref="C6:D6"/>
    <mergeCell ref="F6:G6"/>
    <mergeCell ref="I6:J6"/>
    <mergeCell ref="L6:M6"/>
    <mergeCell ref="O6:P6"/>
    <mergeCell ref="R6:S6"/>
    <mergeCell ref="C34:D34"/>
    <mergeCell ref="F34:G34"/>
    <mergeCell ref="I34:J34"/>
    <mergeCell ref="L34:M34"/>
    <mergeCell ref="O34:P34"/>
    <mergeCell ref="G3:J3"/>
  </mergeCells>
  <pageMargins left="0.25" right="0.25" top="0.75" bottom="0.75" header="0.3" footer="0.3"/>
  <pageSetup scale="42"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8" id="{627FADF9-93C9-48AC-ABDB-8693BFC18CC1}">
            <x14:iconSet custom="1">
              <x14:cfvo type="percent">
                <xm:f>0</xm:f>
              </x14:cfvo>
              <x14:cfvo type="num">
                <xm:f>0</xm:f>
              </x14:cfvo>
              <x14:cfvo type="num" gte="0">
                <xm:f>0</xm:f>
              </x14:cfvo>
              <x14:cfIcon iconSet="3TrafficLights1" iconId="0"/>
              <x14:cfIcon iconSet="3TrafficLights1" iconId="1"/>
              <x14:cfIcon iconSet="3TrafficLights1" iconId="2"/>
            </x14:iconSet>
          </x14:cfRule>
          <xm:sqref>D40:D43</xm:sqref>
        </x14:conditionalFormatting>
        <x14:conditionalFormatting xmlns:xm="http://schemas.microsoft.com/office/excel/2006/main">
          <x14:cfRule type="iconSet" priority="11" id="{AB016297-2F18-4490-AE0C-8092E70BC3A2}">
            <x14:iconSet custom="1">
              <x14:cfvo type="percent">
                <xm:f>0</xm:f>
              </x14:cfvo>
              <x14:cfvo type="num">
                <xm:f>0</xm:f>
              </x14:cfvo>
              <x14:cfvo type="num" gte="0">
                <xm:f>0</xm:f>
              </x14:cfvo>
              <x14:cfIcon iconSet="3TrafficLights1" iconId="0"/>
              <x14:cfIcon iconSet="3TrafficLights1" iconId="1"/>
              <x14:cfIcon iconSet="3TrafficLights1" iconId="2"/>
            </x14:iconSet>
          </x14:cfRule>
          <xm:sqref>D47:D48</xm:sqref>
        </x14:conditionalFormatting>
        <x14:conditionalFormatting xmlns:xm="http://schemas.microsoft.com/office/excel/2006/main">
          <x14:cfRule type="iconSet" priority="6" id="{F81A81FC-7BCA-4D70-95D4-FE336E40D58D}">
            <x14:iconSet custom="1">
              <x14:cfvo type="percent">
                <xm:f>0</xm:f>
              </x14:cfvo>
              <x14:cfvo type="num">
                <xm:f>0</xm:f>
              </x14:cfvo>
              <x14:cfvo type="num" gte="0">
                <xm:f>0</xm:f>
              </x14:cfvo>
              <x14:cfIcon iconSet="3TrafficLights1" iconId="0"/>
              <x14:cfIcon iconSet="3TrafficLights1" iconId="1"/>
              <x14:cfIcon iconSet="3TrafficLights1" iconId="2"/>
            </x14:iconSet>
          </x14:cfRule>
          <xm:sqref>D49:D50</xm:sqref>
        </x14:conditionalFormatting>
        <x14:conditionalFormatting xmlns:xm="http://schemas.microsoft.com/office/excel/2006/main">
          <x14:cfRule type="iconSet" priority="10" id="{5BFBA402-A8DF-41C0-B6D1-C37F0AAD256A}">
            <x14:iconSet custom="1">
              <x14:cfvo type="percent">
                <xm:f>0</xm:f>
              </x14:cfvo>
              <x14:cfvo type="num">
                <xm:f>0</xm:f>
              </x14:cfvo>
              <x14:cfvo type="num" gte="0">
                <xm:f>0</xm:f>
              </x14:cfvo>
              <x14:cfIcon iconSet="3TrafficLights1" iconId="0"/>
              <x14:cfIcon iconSet="3TrafficLights1" iconId="1"/>
              <x14:cfIcon iconSet="3TrafficLights1" iconId="2"/>
            </x14:iconSet>
          </x14:cfRule>
          <xm:sqref>G40:G42</xm:sqref>
        </x14:conditionalFormatting>
        <x14:conditionalFormatting xmlns:xm="http://schemas.microsoft.com/office/excel/2006/main">
          <x14:cfRule type="iconSet" priority="3" id="{33F8E590-AEC8-48EE-BE89-2FAE4756190B}">
            <x14:iconSet custom="1">
              <x14:cfvo type="percent">
                <xm:f>0</xm:f>
              </x14:cfvo>
              <x14:cfvo type="num">
                <xm:f>0</xm:f>
              </x14:cfvo>
              <x14:cfvo type="num" gte="0">
                <xm:f>0</xm:f>
              </x14:cfvo>
              <x14:cfIcon iconSet="3TrafficLights1" iconId="0"/>
              <x14:cfIcon iconSet="3TrafficLights1" iconId="1"/>
              <x14:cfIcon iconSet="3TrafficLights1" iconId="2"/>
            </x14:iconSet>
          </x14:cfRule>
          <xm:sqref>J40:J42</xm:sqref>
        </x14:conditionalFormatting>
        <x14:conditionalFormatting xmlns:xm="http://schemas.microsoft.com/office/excel/2006/main">
          <x14:cfRule type="iconSet" priority="27" id="{DDBEE5DD-CA56-4F74-A807-718FCC45618F}">
            <x14:iconSet custom="1">
              <x14:cfvo type="percent">
                <xm:f>0</xm:f>
              </x14:cfvo>
              <x14:cfvo type="num">
                <xm:f>0</xm:f>
              </x14:cfvo>
              <x14:cfvo type="num" gte="0">
                <xm:f>0</xm:f>
              </x14:cfvo>
              <x14:cfIcon iconSet="3TrafficLights1" iconId="0"/>
              <x14:cfIcon iconSet="3TrafficLights1" iconId="1"/>
              <x14:cfIcon iconSet="3TrafficLights1" iconId="2"/>
            </x14:iconSet>
          </x14:cfRule>
          <xm:sqref>M40:M43</xm:sqref>
        </x14:conditionalFormatting>
        <x14:conditionalFormatting xmlns:xm="http://schemas.microsoft.com/office/excel/2006/main">
          <x14:cfRule type="iconSet" priority="7" id="{1144CBFA-1C87-4608-AF16-12DE6E1F2BED}">
            <x14:iconSet custom="1">
              <x14:cfvo type="percent">
                <xm:f>0</xm:f>
              </x14:cfvo>
              <x14:cfvo type="num">
                <xm:f>0</xm:f>
              </x14:cfvo>
              <x14:cfvo type="num" gte="0">
                <xm:f>0</xm:f>
              </x14:cfvo>
              <x14:cfIcon iconSet="3TrafficLights1" iconId="0"/>
              <x14:cfIcon iconSet="3TrafficLights1" iconId="1"/>
              <x14:cfIcon iconSet="3TrafficLights1" iconId="2"/>
            </x14:iconSet>
          </x14:cfRule>
          <xm:sqref>M46:M48</xm:sqref>
        </x14:conditionalFormatting>
        <x14:conditionalFormatting xmlns:xm="http://schemas.microsoft.com/office/excel/2006/main">
          <x14:cfRule type="iconSet" priority="4" id="{48A2CB4D-63FA-4826-A095-B08A37947A45}">
            <x14:iconSet custom="1">
              <x14:cfvo type="percent">
                <xm:f>0</xm:f>
              </x14:cfvo>
              <x14:cfvo type="num">
                <xm:f>0</xm:f>
              </x14:cfvo>
              <x14:cfvo type="num" gte="0">
                <xm:f>0</xm:f>
              </x14:cfvo>
              <x14:cfIcon iconSet="3TrafficLights1" iconId="0"/>
              <x14:cfIcon iconSet="3TrafficLights1" iconId="1"/>
              <x14:cfIcon iconSet="3TrafficLights1" iconId="2"/>
            </x14:iconSet>
          </x14:cfRule>
          <xm:sqref>M49:M50</xm:sqref>
        </x14:conditionalFormatting>
        <x14:conditionalFormatting xmlns:xm="http://schemas.microsoft.com/office/excel/2006/main">
          <x14:cfRule type="iconSet" priority="12" id="{DA12A517-4293-49E2-8B20-3C12FF54440A}">
            <x14:iconSet custom="1">
              <x14:cfvo type="percent">
                <xm:f>0</xm:f>
              </x14:cfvo>
              <x14:cfvo type="num">
                <xm:f>0</xm:f>
              </x14:cfvo>
              <x14:cfvo type="num" gte="0">
                <xm:f>0</xm:f>
              </x14:cfvo>
              <x14:cfIcon iconSet="3TrafficLights1" iconId="0"/>
              <x14:cfIcon iconSet="3TrafficLights1" iconId="1"/>
              <x14:cfIcon iconSet="3TrafficLights1" iconId="2"/>
            </x14:iconSet>
          </x14:cfRule>
          <xm:sqref>P40:P43</xm:sqref>
        </x14:conditionalFormatting>
        <x14:conditionalFormatting xmlns:xm="http://schemas.microsoft.com/office/excel/2006/main">
          <x14:cfRule type="iconSet" priority="5" id="{04C0DBF5-630B-4FD6-A7A9-3967B9ED7242}">
            <x14:iconSet custom="1">
              <x14:cfvo type="percent">
                <xm:f>0</xm:f>
              </x14:cfvo>
              <x14:cfvo type="num">
                <xm:f>0</xm:f>
              </x14:cfvo>
              <x14:cfvo type="num" gte="0">
                <xm:f>0</xm:f>
              </x14:cfvo>
              <x14:cfIcon iconSet="3TrafficLights1" iconId="0"/>
              <x14:cfIcon iconSet="3TrafficLights1" iconId="1"/>
              <x14:cfIcon iconSet="3TrafficLights1" iconId="2"/>
            </x14:iconSet>
          </x14:cfRule>
          <xm:sqref>P49:S50</xm:sqref>
        </x14:conditionalFormatting>
        <x14:conditionalFormatting xmlns:xm="http://schemas.microsoft.com/office/excel/2006/main">
          <x14:cfRule type="iconSet" priority="2" id="{EF681B9B-0558-4BFB-9859-FC53B0AE0E32}">
            <x14:iconSet custom="1">
              <x14:cfvo type="percent">
                <xm:f>0</xm:f>
              </x14:cfvo>
              <x14:cfvo type="num">
                <xm:f>0</xm:f>
              </x14:cfvo>
              <x14:cfvo type="num" gte="0">
                <xm:f>0</xm:f>
              </x14:cfvo>
              <x14:cfIcon iconSet="3TrafficLights1" iconId="0"/>
              <x14:cfIcon iconSet="3TrafficLights1" iconId="1"/>
              <x14:cfIcon iconSet="3TrafficLights1" iconId="2"/>
            </x14:iconSet>
          </x14:cfRule>
          <xm:sqref>S40:S42</xm:sqref>
        </x14:conditionalFormatting>
        <x14:conditionalFormatting xmlns:xm="http://schemas.microsoft.com/office/excel/2006/main">
          <x14:cfRule type="iconSet" priority="1" id="{5FA7BEA1-2E10-4BC4-8DA2-45EFDF778FED}">
            <x14:iconSet custom="1">
              <x14:cfvo type="percent">
                <xm:f>0</xm:f>
              </x14:cfvo>
              <x14:cfvo type="num">
                <xm:f>0</xm:f>
              </x14:cfvo>
              <x14:cfvo type="num" gte="0">
                <xm:f>0</xm:f>
              </x14:cfvo>
              <x14:cfIcon iconSet="3TrafficLights1" iconId="0"/>
              <x14:cfIcon iconSet="3TrafficLights1" iconId="1"/>
              <x14:cfIcon iconSet="3TrafficLights1" iconId="2"/>
            </x14:iconSet>
          </x14:cfRule>
          <xm:sqref>S43</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EF4C-292E-465B-AECB-6B33F1A051AA}">
  <sheetPr>
    <tabColor theme="0"/>
  </sheetPr>
  <dimension ref="A1:K48"/>
  <sheetViews>
    <sheetView showGridLines="0" topLeftCell="A40" workbookViewId="0">
      <selection activeCell="K8" sqref="K8"/>
    </sheetView>
  </sheetViews>
  <sheetFormatPr baseColWidth="10" defaultColWidth="8.83203125" defaultRowHeight="15" x14ac:dyDescent="0.2"/>
  <cols>
    <col min="1" max="1" width="29.6640625" bestFit="1" customWidth="1"/>
    <col min="2" max="2" width="23.6640625" bestFit="1" customWidth="1"/>
    <col min="3" max="3" width="23.6640625" customWidth="1"/>
    <col min="4" max="4" width="23.6640625" bestFit="1" customWidth="1"/>
    <col min="5" max="6" width="14" customWidth="1"/>
    <col min="7" max="7" width="28.6640625" bestFit="1" customWidth="1"/>
    <col min="8" max="8" width="23.6640625" bestFit="1" customWidth="1"/>
    <col min="9" max="9" width="23.6640625" customWidth="1"/>
    <col min="10" max="10" width="23.6640625" bestFit="1" customWidth="1"/>
    <col min="11" max="11" width="14" customWidth="1"/>
  </cols>
  <sheetData>
    <row r="1" spans="1:11" x14ac:dyDescent="0.2">
      <c r="A1" s="1159" t="s">
        <v>0</v>
      </c>
      <c r="B1" s="1159"/>
      <c r="C1" s="1159"/>
      <c r="D1" s="1159"/>
      <c r="E1" s="1159"/>
      <c r="F1" s="1159"/>
      <c r="G1" s="1159"/>
      <c r="H1" s="1159"/>
      <c r="I1" s="1159"/>
      <c r="J1" s="1159"/>
      <c r="K1" s="1359"/>
    </row>
    <row r="2" spans="1:11" ht="20" x14ac:dyDescent="0.2">
      <c r="A2" s="1296" t="s">
        <v>1</v>
      </c>
      <c r="B2" s="1296"/>
      <c r="C2" s="1296"/>
      <c r="D2" s="1296"/>
      <c r="E2" s="1296"/>
      <c r="F2" s="1296"/>
      <c r="G2" s="1296"/>
      <c r="H2" s="1296"/>
      <c r="I2" s="1296"/>
      <c r="J2" s="1296"/>
      <c r="K2" s="1360"/>
    </row>
    <row r="3" spans="1:11" x14ac:dyDescent="0.2">
      <c r="A3" s="1361" t="s">
        <v>126</v>
      </c>
      <c r="B3" s="1361"/>
      <c r="C3" s="1361"/>
      <c r="D3" s="1361"/>
      <c r="E3" s="1361"/>
      <c r="F3" s="1361"/>
      <c r="G3" s="789"/>
      <c r="H3" s="96"/>
      <c r="I3" s="96"/>
      <c r="J3" s="96"/>
      <c r="K3" s="97"/>
    </row>
    <row r="4" spans="1:11" ht="18" x14ac:dyDescent="0.2">
      <c r="A4" s="1157" t="s">
        <v>823</v>
      </c>
      <c r="B4" s="1158"/>
      <c r="C4" s="1158"/>
      <c r="D4" s="1158"/>
      <c r="E4" s="1158"/>
      <c r="F4" s="1158"/>
      <c r="G4" s="1455"/>
      <c r="H4" s="1455"/>
      <c r="I4" s="1455"/>
      <c r="J4" s="1455"/>
      <c r="K4" s="1456"/>
    </row>
    <row r="5" spans="1:11" ht="14.75" customHeight="1" x14ac:dyDescent="0.2">
      <c r="A5" s="1457" t="s">
        <v>824</v>
      </c>
      <c r="B5" s="1458"/>
      <c r="C5" s="1458"/>
      <c r="D5" s="1458"/>
      <c r="E5" s="1458"/>
      <c r="F5" s="1458"/>
      <c r="G5" s="1458"/>
      <c r="H5" s="727"/>
      <c r="I5" s="60"/>
      <c r="J5" s="60"/>
      <c r="K5" s="728"/>
    </row>
    <row r="6" spans="1:11" x14ac:dyDescent="0.2">
      <c r="A6" s="1188"/>
      <c r="B6" s="1189"/>
      <c r="C6" s="1189"/>
      <c r="D6" s="1189"/>
      <c r="E6" s="1189"/>
      <c r="F6" s="1189"/>
      <c r="G6" s="1189"/>
      <c r="H6" s="304"/>
      <c r="I6" s="24"/>
      <c r="J6" s="24"/>
      <c r="K6" s="25"/>
    </row>
    <row r="7" spans="1:11" x14ac:dyDescent="0.2">
      <c r="A7" s="1188"/>
      <c r="B7" s="1189"/>
      <c r="C7" s="1189"/>
      <c r="D7" s="1189"/>
      <c r="E7" s="1189"/>
      <c r="F7" s="1189"/>
      <c r="G7" s="1189"/>
      <c r="H7" s="304"/>
      <c r="I7" s="24"/>
      <c r="J7" s="24"/>
      <c r="K7" s="25"/>
    </row>
    <row r="8" spans="1:11" ht="29.25" customHeight="1" x14ac:dyDescent="0.2">
      <c r="A8" s="1459"/>
      <c r="B8" s="1460"/>
      <c r="C8" s="1460"/>
      <c r="D8" s="1460"/>
      <c r="E8" s="1460"/>
      <c r="F8" s="1460"/>
      <c r="G8" s="1460"/>
      <c r="H8" s="724"/>
      <c r="I8" s="725"/>
      <c r="J8" s="725"/>
      <c r="K8" s="726"/>
    </row>
    <row r="9" spans="1:11" x14ac:dyDescent="0.2">
      <c r="A9" s="646"/>
      <c r="B9" s="647"/>
      <c r="C9" s="647"/>
      <c r="D9" s="647"/>
      <c r="E9" s="647"/>
      <c r="F9" s="647"/>
      <c r="G9" s="647"/>
      <c r="H9" s="647"/>
      <c r="I9" s="647"/>
      <c r="J9" s="647"/>
      <c r="K9" s="666"/>
    </row>
    <row r="10" spans="1:11" ht="18.5" customHeight="1" x14ac:dyDescent="0.2">
      <c r="A10" s="43"/>
      <c r="B10" s="1221" t="s">
        <v>174</v>
      </c>
      <c r="C10" s="1222"/>
      <c r="D10" s="1222"/>
      <c r="E10" s="1223"/>
      <c r="G10" s="1262" t="s">
        <v>162</v>
      </c>
      <c r="H10" s="1467"/>
      <c r="I10" s="1467"/>
      <c r="J10" s="1467"/>
      <c r="K10" s="1468"/>
    </row>
    <row r="11" spans="1:11" x14ac:dyDescent="0.2">
      <c r="A11" s="43" t="s">
        <v>163</v>
      </c>
      <c r="B11" s="1265" t="str">
        <f>New_Technology</f>
        <v>Waste Heat Recovery (Heat Pump)</v>
      </c>
      <c r="C11" s="1266"/>
      <c r="D11" s="1266"/>
      <c r="E11" s="1267"/>
      <c r="G11" s="1265" t="str">
        <f>Commercial_Benchmark</f>
        <v>Evaporative Condenser</v>
      </c>
      <c r="H11" s="1469"/>
      <c r="I11" s="1469"/>
      <c r="J11" s="1469"/>
      <c r="K11" s="1470"/>
    </row>
    <row r="12" spans="1:11" x14ac:dyDescent="0.2">
      <c r="A12" s="43" t="s">
        <v>164</v>
      </c>
      <c r="B12" s="1464" t="str">
        <f>New_Technology_Apps</f>
        <v>Cooled Waste Water</v>
      </c>
      <c r="C12" s="1465"/>
      <c r="D12" s="1465"/>
      <c r="E12" s="1466"/>
      <c r="G12" s="1265" t="str">
        <f>Benchmark_Apps</f>
        <v>Cooled Waste Water</v>
      </c>
      <c r="H12" s="1469"/>
      <c r="I12" s="1469"/>
      <c r="J12" s="1469"/>
      <c r="K12" s="1470"/>
    </row>
    <row r="13" spans="1:11" x14ac:dyDescent="0.2">
      <c r="A13" s="43" t="s">
        <v>175</v>
      </c>
      <c r="B13" s="744">
        <f>Ref_Volume</f>
        <v>2</v>
      </c>
      <c r="C13" s="1046" t="str">
        <f xml:space="preserve"> "of " &amp; 'Functional Unit'!G20</f>
        <v>of Cooled Waste Water</v>
      </c>
      <c r="D13" s="651" t="str">
        <f>Ref_Volume_Unit</f>
        <v>Million Gallons</v>
      </c>
      <c r="E13" s="1047"/>
      <c r="G13" s="744">
        <f>Ref_Volume_Benchmark</f>
        <v>2</v>
      </c>
      <c r="H13" s="1046" t="str">
        <f xml:space="preserve"> "of " &amp; 'Functional Unit'!G20</f>
        <v>of Cooled Waste Water</v>
      </c>
      <c r="I13" s="650" t="str">
        <f>Ref_Volume_Unit</f>
        <v>Million Gallons</v>
      </c>
      <c r="J13" s="651"/>
      <c r="K13" s="652"/>
    </row>
    <row r="14" spans="1:11" x14ac:dyDescent="0.2">
      <c r="A14" s="243"/>
      <c r="B14" s="22" t="s">
        <v>328</v>
      </c>
      <c r="C14" s="22"/>
      <c r="D14" s="22" t="s">
        <v>167</v>
      </c>
      <c r="G14" s="22" t="s">
        <v>328</v>
      </c>
      <c r="I14" s="22" t="s">
        <v>167</v>
      </c>
      <c r="J14" s="22"/>
      <c r="K14" s="1042"/>
    </row>
    <row r="15" spans="1:11" x14ac:dyDescent="0.2">
      <c r="A15" s="48"/>
      <c r="K15" s="112"/>
    </row>
    <row r="16" spans="1:11" x14ac:dyDescent="0.2">
      <c r="A16" s="48"/>
      <c r="K16" s="112"/>
    </row>
    <row r="17" spans="1:11" ht="16" thickBot="1" x14ac:dyDescent="0.25">
      <c r="A17" s="1436" t="s">
        <v>825</v>
      </c>
      <c r="B17" s="1443"/>
      <c r="C17" s="1443"/>
      <c r="D17" s="1443"/>
      <c r="E17" s="1444"/>
      <c r="G17" s="1436" t="s">
        <v>826</v>
      </c>
      <c r="H17" s="1443"/>
      <c r="I17" s="1443"/>
      <c r="J17" s="1443"/>
      <c r="K17" s="1444"/>
    </row>
    <row r="18" spans="1:11" x14ac:dyDescent="0.2">
      <c r="A18" s="1445"/>
      <c r="B18" s="1446"/>
      <c r="C18" s="1446"/>
      <c r="D18" s="1446"/>
      <c r="E18" s="1447"/>
      <c r="G18" s="1445"/>
      <c r="H18" s="1446"/>
      <c r="I18" s="1446"/>
      <c r="J18" s="1446"/>
      <c r="K18" s="1447"/>
    </row>
    <row r="19" spans="1:11" x14ac:dyDescent="0.2">
      <c r="A19" s="1043"/>
      <c r="B19" s="1113"/>
      <c r="C19" s="1113"/>
      <c r="D19" s="1113"/>
      <c r="E19" s="1044"/>
      <c r="G19" s="1043"/>
      <c r="H19" s="1113"/>
      <c r="I19" s="1113"/>
      <c r="J19" s="1113"/>
      <c r="K19" s="1044"/>
    </row>
    <row r="20" spans="1:11" ht="16" x14ac:dyDescent="0.2">
      <c r="A20" s="1425" t="s">
        <v>827</v>
      </c>
      <c r="B20" s="1426"/>
      <c r="C20" s="1426"/>
      <c r="D20" s="1426"/>
      <c r="E20" s="1427"/>
      <c r="G20" s="1428" t="s">
        <v>827</v>
      </c>
      <c r="H20" s="1429"/>
      <c r="I20" s="1429"/>
      <c r="J20" s="1429"/>
      <c r="K20" s="1430"/>
    </row>
    <row r="21" spans="1:11" ht="16" x14ac:dyDescent="0.2">
      <c r="A21" s="1060" t="s">
        <v>828</v>
      </c>
      <c r="B21" s="1123">
        <f>SUM(E45:E47,B28,B31,B34,B37)</f>
        <v>149.10311407113153</v>
      </c>
      <c r="C21" s="1120"/>
      <c r="D21" s="1431" t="s">
        <v>829</v>
      </c>
      <c r="E21" s="1433"/>
      <c r="G21" s="1060" t="s">
        <v>828</v>
      </c>
      <c r="H21" s="1062">
        <f>SUM(K45:K47,H28,H31,H34,H37)</f>
        <v>433.13500980747602</v>
      </c>
      <c r="I21" s="1053"/>
      <c r="J21" s="1434" t="s">
        <v>829</v>
      </c>
      <c r="K21" s="1433"/>
    </row>
    <row r="22" spans="1:11" ht="16" x14ac:dyDescent="0.2">
      <c r="A22" s="1124" t="s">
        <v>830</v>
      </c>
      <c r="B22" s="1116">
        <f>1-(B21/H21)</f>
        <v>0.65575834163715774</v>
      </c>
      <c r="C22" s="1121"/>
      <c r="D22" s="1432"/>
      <c r="E22" s="1433"/>
      <c r="G22" s="1045"/>
      <c r="H22" s="1112"/>
      <c r="J22" s="1435"/>
      <c r="K22" s="1433"/>
    </row>
    <row r="23" spans="1:11" ht="16" x14ac:dyDescent="0.2">
      <c r="A23" s="1049" t="s">
        <v>831</v>
      </c>
      <c r="B23" s="1122" t="str">
        <f>IF(E21&gt;0,B21/E21,"")</f>
        <v/>
      </c>
      <c r="C23" s="1048"/>
      <c r="D23" s="1100"/>
      <c r="E23" s="1111"/>
      <c r="G23" s="1060" t="s">
        <v>832</v>
      </c>
      <c r="H23" s="1061" t="str">
        <f>IF(K21&gt;0,H21/K21,"")</f>
        <v/>
      </c>
      <c r="I23" s="305"/>
      <c r="J23" s="1100"/>
      <c r="K23" s="1111"/>
    </row>
    <row r="24" spans="1:11" x14ac:dyDescent="0.2">
      <c r="A24" s="48"/>
      <c r="K24" s="112"/>
    </row>
    <row r="25" spans="1:11" x14ac:dyDescent="0.2">
      <c r="A25" s="1448" t="s">
        <v>833</v>
      </c>
      <c r="B25" s="1449"/>
      <c r="C25" s="1449"/>
      <c r="D25" s="1449"/>
      <c r="E25" s="1449"/>
      <c r="F25" s="1449"/>
      <c r="G25" s="1449"/>
      <c r="H25" s="1449"/>
      <c r="I25" s="1449"/>
      <c r="J25" s="1449"/>
      <c r="K25" s="1450"/>
    </row>
    <row r="26" spans="1:11" x14ac:dyDescent="0.2">
      <c r="A26" s="1451"/>
      <c r="B26" s="1452"/>
      <c r="C26" s="1452"/>
      <c r="D26" s="1452"/>
      <c r="E26" s="1452"/>
      <c r="F26" s="1453"/>
      <c r="G26" s="1452"/>
      <c r="H26" s="1452"/>
      <c r="I26" s="1452"/>
      <c r="J26" s="1452"/>
      <c r="K26" s="1454"/>
    </row>
    <row r="27" spans="1:11" ht="14.75" customHeight="1" x14ac:dyDescent="0.2">
      <c r="A27" s="1436" t="s">
        <v>834</v>
      </c>
      <c r="B27" s="1437"/>
      <c r="C27" s="1437"/>
      <c r="D27" s="1437"/>
      <c r="E27" s="1438"/>
      <c r="G27" s="1436" t="s">
        <v>834</v>
      </c>
      <c r="H27" s="1437"/>
      <c r="I27" s="1419"/>
      <c r="J27" s="1419"/>
      <c r="K27" s="1420"/>
    </row>
    <row r="28" spans="1:11" x14ac:dyDescent="0.2">
      <c r="A28" s="779" t="s">
        <v>835</v>
      </c>
      <c r="B28" s="1117">
        <f>RefManufEnergyCost_NewTech</f>
        <v>0.17844963944465791</v>
      </c>
      <c r="C28" s="1110"/>
      <c r="D28" s="1110"/>
      <c r="E28" s="1030"/>
      <c r="G28" s="779" t="s">
        <v>835</v>
      </c>
      <c r="H28" s="1117">
        <f>RefManufEnergyCost_Benchmark</f>
        <v>7.8887074310863925</v>
      </c>
      <c r="I28" s="1109"/>
      <c r="J28" s="1109"/>
      <c r="K28" s="112"/>
    </row>
    <row r="29" spans="1:11" x14ac:dyDescent="0.2">
      <c r="A29" s="779" t="s">
        <v>830</v>
      </c>
      <c r="B29" s="1118">
        <f>1-(B28/H28)</f>
        <v>0.97737910285004914</v>
      </c>
      <c r="C29" s="1108"/>
      <c r="D29" s="1108"/>
      <c r="E29" s="1029"/>
      <c r="G29" s="48"/>
      <c r="H29" s="1109"/>
      <c r="I29" s="1109"/>
      <c r="J29" s="1109"/>
      <c r="K29" s="112"/>
    </row>
    <row r="30" spans="1:11" ht="16" x14ac:dyDescent="0.2">
      <c r="A30" s="1421" t="s">
        <v>836</v>
      </c>
      <c r="B30" s="1422"/>
      <c r="C30" s="1423"/>
      <c r="D30" s="1423"/>
      <c r="E30" s="1424"/>
      <c r="G30" s="1436" t="s">
        <v>836</v>
      </c>
      <c r="H30" s="1437"/>
      <c r="I30" s="1419"/>
      <c r="J30" s="1419"/>
      <c r="K30" s="1420"/>
    </row>
    <row r="31" spans="1:11" ht="15" customHeight="1" x14ac:dyDescent="0.2">
      <c r="A31" s="779" t="s">
        <v>837</v>
      </c>
      <c r="B31" s="1117">
        <f>'Raw Materials'!J28</f>
        <v>14.04</v>
      </c>
      <c r="C31" s="1109"/>
      <c r="D31" s="1109"/>
      <c r="E31" s="112"/>
      <c r="G31" s="779" t="s">
        <v>837</v>
      </c>
      <c r="H31" s="1117">
        <f>'Raw Materials'!T28</f>
        <v>97.446842783505161</v>
      </c>
      <c r="I31" s="1109"/>
      <c r="J31" s="1109"/>
      <c r="K31" s="112"/>
    </row>
    <row r="32" spans="1:11" ht="15" customHeight="1" x14ac:dyDescent="0.2">
      <c r="A32" s="779" t="s">
        <v>830</v>
      </c>
      <c r="B32" s="1118">
        <f>1-(B31/H31)</f>
        <v>0.85592144805355819</v>
      </c>
      <c r="C32" s="1107"/>
      <c r="D32" s="1107"/>
      <c r="E32" s="112"/>
      <c r="G32" s="48"/>
      <c r="H32" s="1109"/>
      <c r="I32" s="1109"/>
      <c r="J32" s="1109"/>
      <c r="K32" s="112"/>
    </row>
    <row r="33" spans="1:11" ht="16" x14ac:dyDescent="0.2">
      <c r="A33" s="1471" t="s">
        <v>838</v>
      </c>
      <c r="B33" s="1472"/>
      <c r="C33" s="1441"/>
      <c r="D33" s="1441"/>
      <c r="E33" s="1442"/>
      <c r="F33" s="748"/>
      <c r="G33" s="1439" t="s">
        <v>838</v>
      </c>
      <c r="H33" s="1440"/>
      <c r="I33" s="1441"/>
      <c r="J33" s="1441"/>
      <c r="K33" s="1442"/>
    </row>
    <row r="34" spans="1:11" ht="15" customHeight="1" x14ac:dyDescent="0.2">
      <c r="A34" s="1114" t="s">
        <v>839</v>
      </c>
      <c r="B34" s="1115">
        <f>RefCapEx_NewTech_withMaintenance</f>
        <v>103.56927064050353</v>
      </c>
      <c r="C34" s="1106"/>
      <c r="D34" s="1106"/>
      <c r="E34" s="1105"/>
      <c r="F34" s="748"/>
      <c r="G34" s="779" t="s">
        <v>839</v>
      </c>
      <c r="H34" s="1119">
        <f>RefCapEx_Benchmark_withMaintenance</f>
        <v>177.86301369863014</v>
      </c>
      <c r="I34" s="1106"/>
      <c r="J34" s="1106"/>
      <c r="K34" s="1105"/>
    </row>
    <row r="35" spans="1:11" ht="16" x14ac:dyDescent="0.2">
      <c r="A35" s="1114" t="s">
        <v>830</v>
      </c>
      <c r="B35" s="1116">
        <f>1-(B34/H34)</f>
        <v>0.41770203660222138</v>
      </c>
      <c r="C35" s="1107"/>
      <c r="D35" s="1107"/>
      <c r="E35" s="112"/>
      <c r="G35" s="48"/>
      <c r="H35" s="1104"/>
      <c r="I35" s="1104"/>
      <c r="J35" s="1104"/>
      <c r="K35" s="112"/>
    </row>
    <row r="36" spans="1:11" ht="16" x14ac:dyDescent="0.2">
      <c r="A36" s="1439" t="s">
        <v>840</v>
      </c>
      <c r="B36" s="1440"/>
      <c r="C36" s="1441"/>
      <c r="D36" s="1441"/>
      <c r="E36" s="1442"/>
      <c r="G36" s="1439" t="s">
        <v>840</v>
      </c>
      <c r="H36" s="1440"/>
      <c r="I36" s="1441"/>
      <c r="J36" s="1441"/>
      <c r="K36" s="1442"/>
    </row>
    <row r="37" spans="1:11" x14ac:dyDescent="0.2">
      <c r="A37" s="779" t="s">
        <v>841</v>
      </c>
      <c r="B37" s="1117">
        <f>RefOpEx_NewTech</f>
        <v>31.315393791183332</v>
      </c>
      <c r="C37" s="1109"/>
      <c r="D37" s="1109"/>
      <c r="E37" s="112"/>
      <c r="G37" s="779" t="s">
        <v>841</v>
      </c>
      <c r="H37" s="1117">
        <f>RefOpEx_Benchmark</f>
        <v>149.93644589425435</v>
      </c>
      <c r="I37" s="1109"/>
      <c r="J37" s="1109"/>
      <c r="K37" s="112"/>
    </row>
    <row r="38" spans="1:11" x14ac:dyDescent="0.2">
      <c r="A38" s="779" t="s">
        <v>830</v>
      </c>
      <c r="B38" s="1118">
        <f>1-(B37/H37)</f>
        <v>0.79114221626095405</v>
      </c>
      <c r="C38" s="1107"/>
      <c r="D38" s="1107"/>
      <c r="E38" s="112"/>
      <c r="G38" s="48"/>
      <c r="K38" s="112"/>
    </row>
    <row r="39" spans="1:11" ht="16" x14ac:dyDescent="0.2">
      <c r="A39" s="1461" t="s">
        <v>842</v>
      </c>
      <c r="B39" s="1462"/>
      <c r="C39" s="1440"/>
      <c r="D39" s="1440"/>
      <c r="E39" s="1463"/>
      <c r="G39" s="1439" t="s">
        <v>842</v>
      </c>
      <c r="H39" s="1440"/>
      <c r="I39" s="1441"/>
      <c r="J39" s="1441"/>
      <c r="K39" s="1442"/>
    </row>
    <row r="40" spans="1:11" x14ac:dyDescent="0.2">
      <c r="A40" s="779" t="s">
        <v>843</v>
      </c>
      <c r="B40" s="1117">
        <f>EnergyCostNT</f>
        <v>0.17844963944465791</v>
      </c>
      <c r="C40" s="1110"/>
      <c r="D40" s="1110"/>
      <c r="E40" s="1030"/>
      <c r="G40" s="779" t="s">
        <v>843</v>
      </c>
      <c r="H40" s="1117">
        <f>EnergyCostBAU</f>
        <v>7.8887074310863925</v>
      </c>
      <c r="I40" s="1109"/>
      <c r="J40" s="1109"/>
      <c r="K40" s="112"/>
    </row>
    <row r="41" spans="1:11" x14ac:dyDescent="0.2">
      <c r="A41" s="779" t="s">
        <v>830</v>
      </c>
      <c r="B41" s="1118">
        <f>1-(B40/H40)</f>
        <v>0.97737910285004914</v>
      </c>
      <c r="C41" s="1108"/>
      <c r="D41" s="1108"/>
      <c r="E41" s="1029"/>
      <c r="G41" s="1028"/>
      <c r="H41" s="1108"/>
      <c r="I41" s="1108"/>
      <c r="J41" s="1108"/>
      <c r="K41" s="1029"/>
    </row>
    <row r="42" spans="1:11" x14ac:dyDescent="0.2">
      <c r="A42" s="48"/>
      <c r="K42" s="112"/>
    </row>
    <row r="43" spans="1:11" ht="16" x14ac:dyDescent="0.2">
      <c r="A43" s="1418" t="s">
        <v>844</v>
      </c>
      <c r="B43" s="1419"/>
      <c r="C43" s="1419"/>
      <c r="D43" s="1419"/>
      <c r="E43" s="1420"/>
      <c r="G43" s="1436" t="s">
        <v>844</v>
      </c>
      <c r="H43" s="1437"/>
      <c r="I43" s="1437"/>
      <c r="J43" s="1437"/>
      <c r="K43" s="1438"/>
    </row>
    <row r="44" spans="1:11" x14ac:dyDescent="0.2">
      <c r="A44" s="1028" t="s">
        <v>845</v>
      </c>
      <c r="B44" s="305" t="s">
        <v>846</v>
      </c>
      <c r="C44" s="305" t="s">
        <v>847</v>
      </c>
      <c r="D44" s="1099" t="s">
        <v>848</v>
      </c>
      <c r="E44" s="1097" t="s">
        <v>371</v>
      </c>
      <c r="G44" s="285" t="s">
        <v>845</v>
      </c>
      <c r="H44" s="449" t="s">
        <v>143</v>
      </c>
      <c r="I44" s="449" t="s">
        <v>847</v>
      </c>
      <c r="J44" s="1057" t="s">
        <v>848</v>
      </c>
      <c r="K44" s="1101" t="s">
        <v>371</v>
      </c>
    </row>
    <row r="45" spans="1:11" x14ac:dyDescent="0.2">
      <c r="A45" s="1098"/>
      <c r="B45" s="1055"/>
      <c r="C45" s="1056"/>
      <c r="D45" s="1058"/>
      <c r="E45" s="1103" t="str">
        <f>IF(B45&lt;&gt;"",D45*B45*$E$21,"")</f>
        <v/>
      </c>
      <c r="G45" s="1098"/>
      <c r="H45" s="1055"/>
      <c r="I45" s="1056"/>
      <c r="J45" s="1056"/>
      <c r="K45" s="1102" t="str">
        <f>IF(H45&lt;&gt;"",J45*H45*$K$21,"")</f>
        <v/>
      </c>
    </row>
    <row r="46" spans="1:11" x14ac:dyDescent="0.2">
      <c r="A46" s="1096"/>
      <c r="B46" s="760"/>
      <c r="C46" s="1096"/>
      <c r="D46" s="1059"/>
      <c r="E46" s="1103" t="str">
        <f t="shared" ref="E46:E47" si="0">IF(B46&lt;&gt;"",D46*B46*$E$21,"")</f>
        <v/>
      </c>
      <c r="G46" s="1096"/>
      <c r="H46" s="1096"/>
      <c r="I46" s="1096"/>
      <c r="J46" s="759"/>
      <c r="K46" s="1103" t="str">
        <f t="shared" ref="K46:K47" si="1">IF(H46&lt;&gt;"",J46*H46*$K$21,"")</f>
        <v/>
      </c>
    </row>
    <row r="47" spans="1:11" x14ac:dyDescent="0.2">
      <c r="A47" s="1096"/>
      <c r="B47" s="760"/>
      <c r="C47" s="1096"/>
      <c r="D47" s="1059"/>
      <c r="E47" s="1103" t="str">
        <f t="shared" si="0"/>
        <v/>
      </c>
      <c r="F47" s="305"/>
      <c r="G47" s="1096"/>
      <c r="H47" s="1096"/>
      <c r="I47" s="1096"/>
      <c r="J47" s="759"/>
      <c r="K47" s="1103" t="str">
        <f t="shared" si="1"/>
        <v/>
      </c>
    </row>
    <row r="48" spans="1:11" x14ac:dyDescent="0.2">
      <c r="A48" s="1206" t="s">
        <v>124</v>
      </c>
      <c r="B48" s="1169"/>
      <c r="C48" s="1169"/>
      <c r="D48" s="1170"/>
    </row>
  </sheetData>
  <mergeCells count="33">
    <mergeCell ref="A48:D48"/>
    <mergeCell ref="A4:K4"/>
    <mergeCell ref="G27:K27"/>
    <mergeCell ref="A5:G8"/>
    <mergeCell ref="A39:E39"/>
    <mergeCell ref="G39:K39"/>
    <mergeCell ref="B10:E10"/>
    <mergeCell ref="B11:E11"/>
    <mergeCell ref="B12:E12"/>
    <mergeCell ref="G10:K10"/>
    <mergeCell ref="G11:K11"/>
    <mergeCell ref="G12:K12"/>
    <mergeCell ref="A36:E36"/>
    <mergeCell ref="A27:E27"/>
    <mergeCell ref="A17:E18"/>
    <mergeCell ref="A33:E33"/>
    <mergeCell ref="A3:F3"/>
    <mergeCell ref="A2:K2"/>
    <mergeCell ref="A1:K1"/>
    <mergeCell ref="G17:K18"/>
    <mergeCell ref="A25:K26"/>
    <mergeCell ref="A43:E43"/>
    <mergeCell ref="A30:E30"/>
    <mergeCell ref="A20:E20"/>
    <mergeCell ref="G20:K20"/>
    <mergeCell ref="D21:D22"/>
    <mergeCell ref="E21:E22"/>
    <mergeCell ref="J21:J22"/>
    <mergeCell ref="K21:K22"/>
    <mergeCell ref="G43:K43"/>
    <mergeCell ref="G30:K30"/>
    <mergeCell ref="G33:K33"/>
    <mergeCell ref="G36:K36"/>
  </mergeCells>
  <hyperlinks>
    <hyperlink ref="A3:G3" location="FullDataLanding" display="Return to Planning Page" xr:uid="{855583DA-8BE8-4FE2-A58A-48E96ED9F67D}"/>
    <hyperlink ref="A48:C48" location="FullDataLanding" display="Return to Planning Page" xr:uid="{80137DA8-C5D2-4F9C-908D-EF82339855E2}"/>
    <hyperlink ref="A48:D48" location="FullDataLanding" display="Return to Home Page" xr:uid="{D3752C9E-416B-4814-A3CB-EA262C5ACBCC}"/>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F70F-B47E-4CC3-B56C-81206B8CA306}">
  <sheetPr>
    <tabColor theme="0"/>
  </sheetPr>
  <dimension ref="A1:M64"/>
  <sheetViews>
    <sheetView showGridLines="0" workbookViewId="0">
      <selection activeCell="Q10" sqref="P10:Q10"/>
    </sheetView>
  </sheetViews>
  <sheetFormatPr baseColWidth="10" defaultColWidth="8.83203125" defaultRowHeight="15" x14ac:dyDescent="0.2"/>
  <cols>
    <col min="1" max="1" width="2.6640625" customWidth="1"/>
    <col min="2" max="11" width="15.6640625" customWidth="1"/>
    <col min="12" max="12" width="20" customWidth="1"/>
    <col min="13" max="13" width="3" customWidth="1"/>
  </cols>
  <sheetData>
    <row r="1" spans="1:13" ht="15.75" customHeight="1" x14ac:dyDescent="0.2">
      <c r="A1" s="5"/>
      <c r="B1" s="1159" t="s">
        <v>0</v>
      </c>
      <c r="C1" s="1160"/>
      <c r="D1" s="1160"/>
      <c r="E1" s="1160"/>
      <c r="F1" s="1160"/>
      <c r="G1" s="1160"/>
      <c r="H1" s="1160"/>
      <c r="I1" s="1160"/>
      <c r="J1" s="1160"/>
      <c r="K1" s="1160"/>
      <c r="L1" s="1490"/>
      <c r="M1" s="5"/>
    </row>
    <row r="2" spans="1:13" ht="21" customHeight="1" x14ac:dyDescent="0.2">
      <c r="A2" s="5"/>
      <c r="B2" s="1161" t="s">
        <v>1</v>
      </c>
      <c r="C2" s="1162"/>
      <c r="D2" s="1162"/>
      <c r="E2" s="1162"/>
      <c r="F2" s="1162"/>
      <c r="G2" s="1162"/>
      <c r="H2" s="1162"/>
      <c r="I2" s="1162"/>
      <c r="J2" s="1162"/>
      <c r="K2" s="1162"/>
      <c r="L2" s="1491"/>
      <c r="M2" s="5"/>
    </row>
    <row r="3" spans="1:13" ht="18" x14ac:dyDescent="0.2">
      <c r="A3" s="5"/>
      <c r="B3" s="1163" t="s">
        <v>849</v>
      </c>
      <c r="C3" s="1165"/>
      <c r="D3" s="1165"/>
      <c r="E3" s="1165"/>
      <c r="F3" s="1165"/>
      <c r="G3" s="1165"/>
      <c r="H3" s="1165"/>
      <c r="I3" s="1165"/>
      <c r="J3" s="1165"/>
      <c r="K3" s="1165"/>
      <c r="L3" s="1326"/>
      <c r="M3" s="5"/>
    </row>
    <row r="4" spans="1:13" ht="18" x14ac:dyDescent="0.2">
      <c r="A4" s="5"/>
      <c r="B4" s="603"/>
      <c r="C4" s="597"/>
      <c r="D4" s="597"/>
      <c r="E4" s="597"/>
      <c r="F4" s="597"/>
      <c r="G4" s="597"/>
      <c r="H4" s="597"/>
      <c r="I4" s="597"/>
      <c r="J4" s="597"/>
      <c r="K4" s="597"/>
      <c r="L4" s="6"/>
      <c r="M4" s="5"/>
    </row>
    <row r="5" spans="1:13" ht="44.25" customHeight="1" x14ac:dyDescent="0.2">
      <c r="A5" s="5"/>
      <c r="B5" s="1188" t="s">
        <v>850</v>
      </c>
      <c r="C5" s="1189"/>
      <c r="D5" s="1189"/>
      <c r="E5" s="1189"/>
      <c r="F5" s="1189"/>
      <c r="G5" s="1189"/>
      <c r="H5" s="1189"/>
      <c r="I5" s="1189"/>
      <c r="J5" s="1189"/>
      <c r="K5" s="1189"/>
      <c r="L5" s="1492"/>
      <c r="M5" s="5"/>
    </row>
    <row r="6" spans="1:13" ht="15.75" customHeight="1" x14ac:dyDescent="0.2">
      <c r="A6" s="5"/>
      <c r="B6" s="1497" t="s">
        <v>851</v>
      </c>
      <c r="C6" s="1498"/>
      <c r="D6" s="1498"/>
      <c r="E6" s="1498"/>
      <c r="F6" s="1498"/>
      <c r="G6" s="1498"/>
      <c r="H6" s="1498"/>
      <c r="I6" s="1498"/>
      <c r="J6" s="1498"/>
      <c r="K6" s="1498"/>
      <c r="L6" s="1499"/>
      <c r="M6" s="5"/>
    </row>
    <row r="7" spans="1:13" s="78" customFormat="1" ht="25.5" customHeight="1" x14ac:dyDescent="0.2">
      <c r="B7" s="1500" t="s">
        <v>852</v>
      </c>
      <c r="C7" s="1501"/>
      <c r="D7" s="1501"/>
      <c r="E7" s="1501"/>
      <c r="F7" s="1501"/>
      <c r="G7" s="1501"/>
      <c r="H7" s="1501"/>
      <c r="I7" s="1501"/>
      <c r="J7" s="1501"/>
      <c r="K7" s="1501"/>
      <c r="L7" s="1502"/>
    </row>
    <row r="8" spans="1:13" x14ac:dyDescent="0.2">
      <c r="B8" s="1493" t="s">
        <v>853</v>
      </c>
      <c r="C8" s="1494"/>
      <c r="D8" s="1494"/>
      <c r="E8" s="1494"/>
      <c r="F8" s="1494"/>
      <c r="G8" s="1494"/>
      <c r="H8" s="1494"/>
      <c r="I8" s="1494"/>
      <c r="J8" s="1494"/>
      <c r="K8" s="1494"/>
      <c r="L8" s="1495"/>
    </row>
    <row r="9" spans="1:13" ht="15" customHeight="1" x14ac:dyDescent="0.2">
      <c r="B9" s="1475" t="s">
        <v>854</v>
      </c>
      <c r="C9" s="1476"/>
      <c r="D9" s="1476"/>
      <c r="E9" s="1476"/>
      <c r="F9" s="1476"/>
      <c r="G9" s="1476"/>
      <c r="H9" s="1476"/>
      <c r="I9" s="1476"/>
      <c r="J9" s="1476"/>
      <c r="K9" s="1476"/>
      <c r="L9" s="1477"/>
    </row>
    <row r="10" spans="1:13" x14ac:dyDescent="0.2">
      <c r="B10" s="1493" t="s">
        <v>855</v>
      </c>
      <c r="C10" s="1494"/>
      <c r="D10" s="1494"/>
      <c r="E10" s="1494"/>
      <c r="F10" s="1494"/>
      <c r="G10" s="1494"/>
      <c r="H10" s="1494"/>
      <c r="I10" s="1494"/>
      <c r="J10" s="1494"/>
      <c r="K10" s="1494"/>
      <c r="L10" s="1495"/>
    </row>
    <row r="11" spans="1:13" ht="30" customHeight="1" x14ac:dyDescent="0.2">
      <c r="B11" s="1475" t="s">
        <v>856</v>
      </c>
      <c r="C11" s="1476"/>
      <c r="D11" s="1476"/>
      <c r="E11" s="1476"/>
      <c r="F11" s="1476"/>
      <c r="G11" s="1476"/>
      <c r="H11" s="1476"/>
      <c r="I11" s="1476"/>
      <c r="J11" s="1476"/>
      <c r="K11" s="1476"/>
      <c r="L11" s="1477"/>
    </row>
    <row r="12" spans="1:13" ht="15" customHeight="1" x14ac:dyDescent="0.2">
      <c r="B12" s="1475" t="s">
        <v>857</v>
      </c>
      <c r="C12" s="1476"/>
      <c r="D12" s="1476"/>
      <c r="E12" s="1476"/>
      <c r="F12" s="1476"/>
      <c r="G12" s="1476"/>
      <c r="H12" s="1476"/>
      <c r="I12" s="1476"/>
      <c r="J12" s="1476"/>
      <c r="K12" s="1476"/>
      <c r="L12" s="1477"/>
    </row>
    <row r="13" spans="1:13" ht="29.25" customHeight="1" x14ac:dyDescent="0.2">
      <c r="B13" s="1475" t="s">
        <v>858</v>
      </c>
      <c r="C13" s="1476"/>
      <c r="D13" s="1476"/>
      <c r="E13" s="1476"/>
      <c r="F13" s="1476"/>
      <c r="G13" s="1476"/>
      <c r="H13" s="1476"/>
      <c r="I13" s="1476"/>
      <c r="J13" s="1476"/>
      <c r="K13" s="1476"/>
      <c r="L13" s="1477"/>
    </row>
    <row r="14" spans="1:13" x14ac:dyDescent="0.2">
      <c r="B14" s="84"/>
      <c r="C14" s="45"/>
      <c r="D14" s="45"/>
      <c r="E14" s="45"/>
      <c r="F14" s="45"/>
      <c r="G14" s="45"/>
      <c r="H14" s="45"/>
      <c r="I14" s="45"/>
      <c r="J14" s="45"/>
      <c r="K14" s="45"/>
      <c r="L14" s="12"/>
    </row>
    <row r="15" spans="1:13" ht="15" customHeight="1" x14ac:dyDescent="0.2">
      <c r="B15" s="1503" t="s">
        <v>227</v>
      </c>
      <c r="C15" s="1505" t="s">
        <v>859</v>
      </c>
      <c r="D15" s="1506"/>
      <c r="E15" s="1507"/>
      <c r="F15" s="1505" t="s">
        <v>860</v>
      </c>
      <c r="G15" s="1506"/>
      <c r="H15" s="1507"/>
      <c r="I15" s="1505" t="s">
        <v>343</v>
      </c>
      <c r="J15" s="1506"/>
      <c r="K15" s="1507"/>
      <c r="L15" s="1503" t="s">
        <v>861</v>
      </c>
    </row>
    <row r="16" spans="1:13" ht="16" x14ac:dyDescent="0.2">
      <c r="B16" s="1504"/>
      <c r="C16" s="79" t="s">
        <v>862</v>
      </c>
      <c r="D16" s="79" t="s">
        <v>863</v>
      </c>
      <c r="E16" s="79" t="s">
        <v>864</v>
      </c>
      <c r="F16" s="79" t="s">
        <v>862</v>
      </c>
      <c r="G16" s="79" t="s">
        <v>863</v>
      </c>
      <c r="H16" s="79" t="s">
        <v>864</v>
      </c>
      <c r="I16" s="79" t="s">
        <v>862</v>
      </c>
      <c r="J16" s="79" t="s">
        <v>863</v>
      </c>
      <c r="K16" s="79" t="s">
        <v>864</v>
      </c>
      <c r="L16" s="1504"/>
    </row>
    <row r="17" spans="2:12" x14ac:dyDescent="0.2">
      <c r="B17" s="81"/>
      <c r="C17" s="82"/>
      <c r="D17" s="82"/>
      <c r="E17" s="82"/>
      <c r="F17" s="82"/>
      <c r="G17" s="82"/>
      <c r="H17" s="82"/>
      <c r="I17" s="82"/>
      <c r="J17" s="82"/>
      <c r="K17" s="82"/>
      <c r="L17" s="82"/>
    </row>
    <row r="18" spans="2:12" x14ac:dyDescent="0.2">
      <c r="B18" s="81"/>
      <c r="C18" s="82"/>
      <c r="D18" s="82"/>
      <c r="E18" s="82"/>
      <c r="F18" s="82"/>
      <c r="G18" s="82"/>
      <c r="H18" s="82"/>
      <c r="I18" s="82"/>
      <c r="J18" s="82"/>
      <c r="K18" s="82"/>
      <c r="L18" s="82"/>
    </row>
    <row r="19" spans="2:12" x14ac:dyDescent="0.2">
      <c r="B19" s="81"/>
      <c r="C19" s="82"/>
      <c r="D19" s="82"/>
      <c r="E19" s="82"/>
      <c r="F19" s="82"/>
      <c r="G19" s="82"/>
      <c r="H19" s="82"/>
      <c r="I19" s="82"/>
      <c r="J19" s="82"/>
      <c r="K19" s="82"/>
      <c r="L19" s="82"/>
    </row>
    <row r="20" spans="2:12" x14ac:dyDescent="0.2">
      <c r="B20" s="81"/>
      <c r="C20" s="82"/>
      <c r="D20" s="82"/>
      <c r="E20" s="82"/>
      <c r="F20" s="82"/>
      <c r="G20" s="82"/>
      <c r="H20" s="82"/>
      <c r="I20" s="82"/>
      <c r="J20" s="82"/>
      <c r="K20" s="82"/>
      <c r="L20" s="82"/>
    </row>
    <row r="21" spans="2:12" x14ac:dyDescent="0.2">
      <c r="B21" s="81"/>
      <c r="C21" s="82"/>
      <c r="D21" s="82"/>
      <c r="E21" s="82"/>
      <c r="F21" s="82"/>
      <c r="G21" s="82"/>
      <c r="H21" s="82"/>
      <c r="I21" s="82"/>
      <c r="J21" s="82"/>
      <c r="K21" s="82"/>
      <c r="L21" s="82"/>
    </row>
    <row r="22" spans="2:12" x14ac:dyDescent="0.2">
      <c r="B22" s="81"/>
      <c r="C22" s="82"/>
      <c r="D22" s="82"/>
      <c r="E22" s="82"/>
      <c r="F22" s="82"/>
      <c r="G22" s="82"/>
      <c r="H22" s="82"/>
      <c r="I22" s="82"/>
      <c r="J22" s="82"/>
      <c r="K22" s="82"/>
      <c r="L22" s="82"/>
    </row>
    <row r="23" spans="2:12" x14ac:dyDescent="0.2">
      <c r="B23" s="81"/>
      <c r="C23" s="82"/>
      <c r="D23" s="82"/>
      <c r="E23" s="82"/>
      <c r="F23" s="82"/>
      <c r="G23" s="82"/>
      <c r="H23" s="82"/>
      <c r="I23" s="82"/>
      <c r="J23" s="82"/>
      <c r="K23" s="82"/>
      <c r="L23" s="82"/>
    </row>
    <row r="24" spans="2:12" x14ac:dyDescent="0.2">
      <c r="B24" s="81"/>
      <c r="C24" s="82"/>
      <c r="D24" s="82"/>
      <c r="E24" s="82"/>
      <c r="F24" s="82"/>
      <c r="G24" s="82"/>
      <c r="H24" s="82"/>
      <c r="I24" s="82"/>
      <c r="J24" s="82"/>
      <c r="K24" s="82"/>
      <c r="L24" s="82"/>
    </row>
    <row r="25" spans="2:12" x14ac:dyDescent="0.2">
      <c r="B25" s="81"/>
      <c r="C25" s="82"/>
      <c r="D25" s="82"/>
      <c r="E25" s="82"/>
      <c r="F25" s="82"/>
      <c r="G25" s="82"/>
      <c r="H25" s="82"/>
      <c r="I25" s="82"/>
      <c r="J25" s="82"/>
      <c r="K25" s="82"/>
      <c r="L25" s="82"/>
    </row>
    <row r="26" spans="2:12" x14ac:dyDescent="0.2">
      <c r="B26" s="81"/>
      <c r="C26" s="82"/>
      <c r="D26" s="82"/>
      <c r="E26" s="82"/>
      <c r="F26" s="82"/>
      <c r="G26" s="82"/>
      <c r="H26" s="82"/>
      <c r="I26" s="82"/>
      <c r="J26" s="82"/>
      <c r="K26" s="82"/>
      <c r="L26" s="82"/>
    </row>
    <row r="27" spans="2:12" x14ac:dyDescent="0.2">
      <c r="B27" s="85"/>
      <c r="C27" s="80"/>
      <c r="D27" s="80"/>
      <c r="E27" s="80"/>
      <c r="F27" s="80"/>
      <c r="G27" s="80"/>
      <c r="H27" s="80"/>
      <c r="I27" s="80"/>
      <c r="J27" s="80"/>
      <c r="K27" s="80"/>
      <c r="L27" s="86"/>
    </row>
    <row r="28" spans="2:12" x14ac:dyDescent="0.2">
      <c r="B28" s="1493" t="s">
        <v>865</v>
      </c>
      <c r="C28" s="1494"/>
      <c r="D28" s="1494"/>
      <c r="E28" s="1494"/>
      <c r="F28" s="1494"/>
      <c r="G28" s="1494"/>
      <c r="H28" s="1494"/>
      <c r="I28" s="1494"/>
      <c r="J28" s="1494"/>
      <c r="K28" s="1494"/>
      <c r="L28" s="1495"/>
    </row>
    <row r="29" spans="2:12" x14ac:dyDescent="0.2">
      <c r="B29" s="662"/>
      <c r="C29" s="663"/>
      <c r="D29" s="663"/>
      <c r="E29" s="663"/>
      <c r="F29" s="663"/>
      <c r="G29" s="663"/>
      <c r="H29" s="663"/>
      <c r="I29" s="663"/>
      <c r="J29" s="663"/>
      <c r="K29" s="663"/>
      <c r="L29" s="664"/>
    </row>
    <row r="30" spans="2:12" ht="15" customHeight="1" x14ac:dyDescent="0.2">
      <c r="B30" s="1485" t="s">
        <v>227</v>
      </c>
      <c r="C30" s="1487" t="s">
        <v>866</v>
      </c>
      <c r="D30" s="1488"/>
      <c r="E30" s="1489"/>
      <c r="F30" s="1487" t="s">
        <v>343</v>
      </c>
      <c r="G30" s="1488"/>
      <c r="H30" s="1489"/>
      <c r="I30" s="1485" t="s">
        <v>867</v>
      </c>
      <c r="J30" s="663"/>
      <c r="K30" s="663"/>
      <c r="L30" s="664"/>
    </row>
    <row r="31" spans="2:12" ht="17" x14ac:dyDescent="0.2">
      <c r="B31" s="1486"/>
      <c r="C31" s="667" t="s">
        <v>862</v>
      </c>
      <c r="D31" s="667" t="s">
        <v>863</v>
      </c>
      <c r="E31" s="667" t="s">
        <v>864</v>
      </c>
      <c r="F31" s="667" t="s">
        <v>862</v>
      </c>
      <c r="G31" s="667" t="s">
        <v>863</v>
      </c>
      <c r="H31" s="667" t="s">
        <v>864</v>
      </c>
      <c r="I31" s="1486"/>
      <c r="J31" s="663"/>
      <c r="K31" s="663"/>
      <c r="L31" s="664"/>
    </row>
    <row r="32" spans="2:12" x14ac:dyDescent="0.2">
      <c r="B32" s="81"/>
      <c r="C32" s="82"/>
      <c r="D32" s="82"/>
      <c r="E32" s="82"/>
      <c r="F32" s="82"/>
      <c r="G32" s="82"/>
      <c r="H32" s="82"/>
      <c r="I32" s="82"/>
      <c r="J32" s="663"/>
      <c r="K32" s="663"/>
      <c r="L32" s="664"/>
    </row>
    <row r="33" spans="2:12" x14ac:dyDescent="0.2">
      <c r="B33" s="81"/>
      <c r="C33" s="82"/>
      <c r="D33" s="82"/>
      <c r="E33" s="82"/>
      <c r="F33" s="82"/>
      <c r="G33" s="82"/>
      <c r="H33" s="82"/>
      <c r="I33" s="82"/>
      <c r="J33" s="663"/>
      <c r="K33" s="663"/>
      <c r="L33" s="664"/>
    </row>
    <row r="34" spans="2:12" x14ac:dyDescent="0.2">
      <c r="B34" s="81"/>
      <c r="C34" s="82"/>
      <c r="D34" s="82"/>
      <c r="E34" s="82"/>
      <c r="F34" s="82"/>
      <c r="G34" s="82"/>
      <c r="H34" s="82"/>
      <c r="I34" s="82"/>
      <c r="J34" s="663"/>
      <c r="K34" s="663"/>
      <c r="L34" s="664"/>
    </row>
    <row r="35" spans="2:12" x14ac:dyDescent="0.2">
      <c r="B35" s="81"/>
      <c r="C35" s="82"/>
      <c r="D35" s="82"/>
      <c r="E35" s="82"/>
      <c r="F35" s="82"/>
      <c r="G35" s="82"/>
      <c r="H35" s="82"/>
      <c r="I35" s="82"/>
      <c r="J35" s="663"/>
      <c r="K35" s="663"/>
      <c r="L35" s="664"/>
    </row>
    <row r="36" spans="2:12" x14ac:dyDescent="0.2">
      <c r="B36" s="81"/>
      <c r="C36" s="82"/>
      <c r="D36" s="82"/>
      <c r="E36" s="82"/>
      <c r="F36" s="82"/>
      <c r="G36" s="82"/>
      <c r="H36" s="82"/>
      <c r="I36" s="82"/>
      <c r="J36" s="663"/>
      <c r="K36" s="663"/>
      <c r="L36" s="664"/>
    </row>
    <row r="37" spans="2:12" x14ac:dyDescent="0.2">
      <c r="B37" s="81"/>
      <c r="C37" s="82"/>
      <c r="D37" s="82"/>
      <c r="E37" s="82"/>
      <c r="F37" s="82"/>
      <c r="G37" s="82"/>
      <c r="H37" s="82"/>
      <c r="I37" s="82"/>
      <c r="J37" s="663"/>
      <c r="K37" s="663"/>
      <c r="L37" s="664"/>
    </row>
    <row r="38" spans="2:12" x14ac:dyDescent="0.2">
      <c r="B38" s="81"/>
      <c r="C38" s="82"/>
      <c r="D38" s="82"/>
      <c r="E38" s="82"/>
      <c r="F38" s="82"/>
      <c r="G38" s="82"/>
      <c r="H38" s="82"/>
      <c r="I38" s="82"/>
      <c r="J38" s="663"/>
      <c r="K38" s="663"/>
      <c r="L38" s="664"/>
    </row>
    <row r="39" spans="2:12" x14ac:dyDescent="0.2">
      <c r="B39" s="81"/>
      <c r="C39" s="82"/>
      <c r="D39" s="82"/>
      <c r="E39" s="82"/>
      <c r="F39" s="82"/>
      <c r="G39" s="82"/>
      <c r="H39" s="82"/>
      <c r="I39" s="82"/>
      <c r="J39" s="663"/>
      <c r="K39" s="663"/>
      <c r="L39" s="664"/>
    </row>
    <row r="40" spans="2:12" x14ac:dyDescent="0.2">
      <c r="B40" s="81"/>
      <c r="C40" s="82"/>
      <c r="D40" s="82"/>
      <c r="E40" s="82"/>
      <c r="F40" s="82"/>
      <c r="G40" s="82"/>
      <c r="H40" s="82"/>
      <c r="I40" s="82"/>
      <c r="J40" s="663"/>
      <c r="K40" s="663"/>
      <c r="L40" s="664"/>
    </row>
    <row r="41" spans="2:12" x14ac:dyDescent="0.2">
      <c r="B41" s="81"/>
      <c r="C41" s="82"/>
      <c r="D41" s="82"/>
      <c r="E41" s="82"/>
      <c r="F41" s="82"/>
      <c r="G41" s="82"/>
      <c r="H41" s="82"/>
      <c r="I41" s="82"/>
      <c r="J41" s="663"/>
      <c r="K41" s="663"/>
      <c r="L41" s="664"/>
    </row>
    <row r="42" spans="2:12" s="45" customFormat="1" x14ac:dyDescent="0.2">
      <c r="B42" s="85"/>
      <c r="C42" s="80"/>
      <c r="D42" s="80"/>
      <c r="E42" s="80"/>
      <c r="F42" s="80"/>
      <c r="G42" s="80"/>
      <c r="H42" s="80"/>
      <c r="I42" s="80"/>
      <c r="J42" s="663"/>
      <c r="K42" s="663"/>
      <c r="L42" s="664"/>
    </row>
    <row r="43" spans="2:12" ht="15" customHeight="1" x14ac:dyDescent="0.2">
      <c r="B43" s="1475" t="s">
        <v>868</v>
      </c>
      <c r="C43" s="1476"/>
      <c r="D43" s="1476"/>
      <c r="E43" s="1476"/>
      <c r="F43" s="1476"/>
      <c r="G43" s="1476"/>
      <c r="H43" s="1476"/>
      <c r="I43" s="1476"/>
      <c r="J43" s="1476"/>
      <c r="K43" s="1476"/>
      <c r="L43" s="1477"/>
    </row>
    <row r="44" spans="2:12" x14ac:dyDescent="0.2">
      <c r="B44" s="662"/>
      <c r="C44" s="663"/>
      <c r="D44" s="663"/>
      <c r="E44" s="663"/>
      <c r="F44" s="663"/>
      <c r="G44" s="663"/>
      <c r="H44" s="663"/>
      <c r="I44" s="663"/>
      <c r="J44" s="663"/>
      <c r="K44" s="663"/>
      <c r="L44" s="664"/>
    </row>
    <row r="45" spans="2:12" ht="29" x14ac:dyDescent="0.2">
      <c r="B45" s="1478"/>
      <c r="C45" s="1479"/>
      <c r="D45" s="596" t="s">
        <v>869</v>
      </c>
      <c r="E45" s="596" t="s">
        <v>870</v>
      </c>
      <c r="F45" s="596" t="s">
        <v>871</v>
      </c>
      <c r="G45" s="596" t="s">
        <v>872</v>
      </c>
      <c r="H45" s="21"/>
      <c r="I45" s="21"/>
      <c r="J45" s="21"/>
      <c r="K45" s="21"/>
      <c r="L45" s="26"/>
    </row>
    <row r="46" spans="2:12" x14ac:dyDescent="0.2">
      <c r="B46" s="1480" t="s">
        <v>873</v>
      </c>
      <c r="C46" s="1481"/>
      <c r="D46" s="607">
        <f>SUM(C17:C26)</f>
        <v>0</v>
      </c>
      <c r="E46" s="607">
        <f>SUM(D32:D41)/1000</f>
        <v>0</v>
      </c>
      <c r="F46" s="608">
        <f>D46*430</f>
        <v>0</v>
      </c>
      <c r="G46" s="607">
        <f>E46</f>
        <v>0</v>
      </c>
      <c r="H46" s="21"/>
      <c r="I46" s="21"/>
      <c r="J46" s="21"/>
      <c r="K46" s="21"/>
      <c r="L46" s="26"/>
    </row>
    <row r="47" spans="2:12" x14ac:dyDescent="0.2">
      <c r="B47" s="1480" t="s">
        <v>874</v>
      </c>
      <c r="C47" s="1481"/>
      <c r="D47" s="607">
        <f>SUM(I17:I26)</f>
        <v>0</v>
      </c>
      <c r="E47" s="607">
        <f>SUM(G32:G41)/1000</f>
        <v>0</v>
      </c>
      <c r="F47" s="608">
        <f>D47*430</f>
        <v>0</v>
      </c>
      <c r="G47" s="607">
        <f t="shared" ref="G47:G49" si="0">E47</f>
        <v>0</v>
      </c>
      <c r="H47" s="21"/>
      <c r="I47" s="21"/>
      <c r="J47" s="21"/>
      <c r="K47" s="21"/>
      <c r="L47" s="26"/>
    </row>
    <row r="48" spans="2:12" x14ac:dyDescent="0.2">
      <c r="B48" s="1480" t="s">
        <v>875</v>
      </c>
      <c r="C48" s="1481"/>
      <c r="D48" s="607">
        <f>SUM(F17:F26)</f>
        <v>0</v>
      </c>
      <c r="E48" s="607" t="s">
        <v>876</v>
      </c>
      <c r="F48" s="608">
        <f>D48*430</f>
        <v>0</v>
      </c>
      <c r="G48" s="607" t="str">
        <f t="shared" si="0"/>
        <v xml:space="preserve"> - </v>
      </c>
      <c r="H48" s="21"/>
      <c r="I48" s="21"/>
      <c r="J48" s="21"/>
      <c r="K48" s="21"/>
      <c r="L48" s="26"/>
    </row>
    <row r="49" spans="2:12" x14ac:dyDescent="0.2">
      <c r="B49" s="1480" t="s">
        <v>113</v>
      </c>
      <c r="C49" s="1481"/>
      <c r="D49" s="607">
        <f>SUM(L17:L26)</f>
        <v>0</v>
      </c>
      <c r="E49" s="607">
        <f>SUM(I32:I41)/1000</f>
        <v>0</v>
      </c>
      <c r="F49" s="608">
        <f>D49*430</f>
        <v>0</v>
      </c>
      <c r="G49" s="607">
        <f t="shared" si="0"/>
        <v>0</v>
      </c>
      <c r="H49" s="606"/>
      <c r="I49" s="385"/>
      <c r="J49" s="385"/>
      <c r="K49" s="385"/>
      <c r="L49" s="604"/>
    </row>
    <row r="50" spans="2:12" x14ac:dyDescent="0.2">
      <c r="B50" s="1473" t="s">
        <v>877</v>
      </c>
      <c r="C50" s="1474"/>
      <c r="D50" s="607">
        <f>SUM(D46:D49)</f>
        <v>0</v>
      </c>
      <c r="E50" s="607">
        <f>SUM(E46:E49)</f>
        <v>0</v>
      </c>
      <c r="F50" s="608">
        <f>D50*430</f>
        <v>0</v>
      </c>
      <c r="G50" s="607">
        <f>E50</f>
        <v>0</v>
      </c>
      <c r="H50" s="1482"/>
      <c r="I50" s="1483"/>
      <c r="J50" s="1483"/>
      <c r="K50" s="1483"/>
      <c r="L50" s="1484"/>
    </row>
    <row r="51" spans="2:12" x14ac:dyDescent="0.2">
      <c r="B51" s="38"/>
      <c r="C51" s="21"/>
      <c r="D51" s="21"/>
      <c r="E51" s="21"/>
      <c r="F51" s="21"/>
      <c r="H51" s="605"/>
      <c r="I51" s="385"/>
      <c r="J51" s="385"/>
      <c r="K51" s="385"/>
      <c r="L51" s="604"/>
    </row>
    <row r="52" spans="2:12" ht="27" customHeight="1" x14ac:dyDescent="0.2">
      <c r="B52" s="1475" t="s">
        <v>878</v>
      </c>
      <c r="C52" s="1476"/>
      <c r="D52" s="1476"/>
      <c r="E52" s="1476"/>
      <c r="F52" s="1476"/>
      <c r="G52" s="1476"/>
      <c r="H52" s="1476"/>
      <c r="I52" s="1476"/>
      <c r="J52" s="1476"/>
      <c r="K52" s="1476"/>
      <c r="L52" s="1477"/>
    </row>
    <row r="53" spans="2:12" x14ac:dyDescent="0.2">
      <c r="B53" s="38"/>
      <c r="C53" s="21"/>
      <c r="D53" s="21"/>
      <c r="E53" s="21"/>
      <c r="F53" s="21"/>
      <c r="G53" s="21"/>
      <c r="H53" s="21"/>
      <c r="I53" s="21"/>
      <c r="J53" s="21"/>
      <c r="K53" s="21"/>
      <c r="L53" s="26"/>
    </row>
    <row r="54" spans="2:12" x14ac:dyDescent="0.2">
      <c r="B54" s="87" t="s">
        <v>879</v>
      </c>
      <c r="C54" s="443" t="s">
        <v>880</v>
      </c>
      <c r="D54" s="382">
        <v>1</v>
      </c>
      <c r="E54" s="382" t="s">
        <v>881</v>
      </c>
      <c r="F54" s="21"/>
      <c r="G54" s="21"/>
      <c r="H54" s="21"/>
      <c r="I54" s="21"/>
      <c r="J54" s="21"/>
      <c r="K54" s="21"/>
      <c r="L54" s="26"/>
    </row>
    <row r="55" spans="2:12" x14ac:dyDescent="0.2">
      <c r="B55" s="38"/>
      <c r="C55" s="21"/>
      <c r="D55" s="66" t="s">
        <v>882</v>
      </c>
      <c r="E55" s="21" t="s">
        <v>883</v>
      </c>
      <c r="F55" s="21"/>
      <c r="G55" s="21"/>
      <c r="H55" s="21"/>
      <c r="I55" s="21"/>
      <c r="J55" s="21"/>
      <c r="K55" s="21"/>
      <c r="L55" s="26"/>
    </row>
    <row r="56" spans="2:12" x14ac:dyDescent="0.2">
      <c r="B56" s="38"/>
      <c r="C56" s="21"/>
      <c r="D56" s="66"/>
      <c r="E56" s="21"/>
      <c r="F56" s="21"/>
      <c r="G56" s="21"/>
      <c r="H56" s="21"/>
      <c r="I56" s="21"/>
      <c r="J56" s="21"/>
      <c r="K56" s="21"/>
      <c r="L56" s="26"/>
    </row>
    <row r="57" spans="2:12" x14ac:dyDescent="0.2">
      <c r="B57" s="662" t="s">
        <v>884</v>
      </c>
      <c r="C57" s="21"/>
      <c r="D57" s="66"/>
      <c r="E57" s="21"/>
      <c r="F57" s="21"/>
      <c r="G57" s="21"/>
      <c r="H57" s="21"/>
      <c r="I57" s="21"/>
      <c r="J57" s="21"/>
      <c r="K57" s="21"/>
      <c r="L57" s="26"/>
    </row>
    <row r="58" spans="2:12" x14ac:dyDescent="0.2">
      <c r="B58" s="38"/>
      <c r="C58" s="21"/>
      <c r="D58" s="21"/>
      <c r="E58" s="21"/>
      <c r="F58" s="21"/>
      <c r="H58" s="381"/>
      <c r="I58" s="21"/>
      <c r="J58" s="21"/>
      <c r="K58" s="21"/>
      <c r="L58" s="26"/>
    </row>
    <row r="59" spans="2:12" ht="15" customHeight="1" x14ac:dyDescent="0.2">
      <c r="B59" s="84"/>
      <c r="C59" s="385"/>
      <c r="D59" s="387"/>
      <c r="E59" s="386" t="s">
        <v>885</v>
      </c>
      <c r="F59" s="83">
        <f>F50*D54</f>
        <v>0</v>
      </c>
      <c r="G59" s="383">
        <f>G50*D54</f>
        <v>0</v>
      </c>
      <c r="H59" s="1510" t="s">
        <v>886</v>
      </c>
      <c r="I59" s="1511"/>
      <c r="J59" s="1511"/>
      <c r="K59" s="1511"/>
      <c r="L59" s="1512"/>
    </row>
    <row r="60" spans="2:12" x14ac:dyDescent="0.2">
      <c r="B60" s="48"/>
      <c r="C60" s="385"/>
      <c r="D60" s="387"/>
      <c r="E60" s="386"/>
      <c r="F60" s="21" t="str">
        <f>"Btu/"&amp;E54</f>
        <v>Btu/lb</v>
      </c>
      <c r="G60" s="21" t="str">
        <f>"lbs CO2-eq/"&amp;E54</f>
        <v>lbs CO2-eq/lb</v>
      </c>
      <c r="H60" s="161" t="s">
        <v>887</v>
      </c>
      <c r="I60" s="21"/>
      <c r="J60" s="21"/>
      <c r="K60" s="21"/>
      <c r="L60" s="26"/>
    </row>
    <row r="61" spans="2:12" ht="63.75" customHeight="1" x14ac:dyDescent="0.2">
      <c r="B61" s="84"/>
      <c r="C61" s="45"/>
      <c r="D61" s="45"/>
      <c r="E61" s="45"/>
      <c r="F61" s="45"/>
      <c r="H61" s="1508" t="s">
        <v>888</v>
      </c>
      <c r="I61" s="1508"/>
      <c r="J61" s="1508"/>
      <c r="K61" s="1508"/>
      <c r="L61" s="1509"/>
    </row>
    <row r="62" spans="2:12" ht="27.75" customHeight="1" x14ac:dyDescent="0.2">
      <c r="B62" s="611" t="s">
        <v>889</v>
      </c>
      <c r="C62" s="45"/>
      <c r="D62" s="45"/>
      <c r="E62" s="45"/>
      <c r="F62" s="45"/>
      <c r="G62" s="45"/>
      <c r="H62" s="609"/>
      <c r="I62" s="609"/>
      <c r="J62" s="609"/>
      <c r="K62" s="609"/>
      <c r="L62" s="610"/>
    </row>
    <row r="63" spans="2:12" x14ac:dyDescent="0.2">
      <c r="B63" s="88"/>
      <c r="C63" s="89"/>
      <c r="D63" s="89"/>
      <c r="E63" s="89"/>
      <c r="F63" s="89"/>
      <c r="G63" s="129"/>
      <c r="H63" s="89"/>
      <c r="I63" s="89"/>
      <c r="J63" s="89"/>
      <c r="K63" s="89"/>
      <c r="L63" s="90"/>
    </row>
    <row r="64" spans="2:12" x14ac:dyDescent="0.2">
      <c r="B64" s="1496" t="s">
        <v>890</v>
      </c>
      <c r="C64" s="1320"/>
      <c r="D64" s="1289"/>
    </row>
  </sheetData>
  <mergeCells count="34">
    <mergeCell ref="B64:D64"/>
    <mergeCell ref="B9:L9"/>
    <mergeCell ref="B8:L8"/>
    <mergeCell ref="B6:L6"/>
    <mergeCell ref="B7:L7"/>
    <mergeCell ref="B11:L11"/>
    <mergeCell ref="B12:L12"/>
    <mergeCell ref="B13:L13"/>
    <mergeCell ref="B15:B16"/>
    <mergeCell ref="C15:E15"/>
    <mergeCell ref="F15:H15"/>
    <mergeCell ref="I15:K15"/>
    <mergeCell ref="L15:L16"/>
    <mergeCell ref="H61:L61"/>
    <mergeCell ref="H59:L59"/>
    <mergeCell ref="B28:L28"/>
    <mergeCell ref="B1:L1"/>
    <mergeCell ref="B2:L2"/>
    <mergeCell ref="B3:L3"/>
    <mergeCell ref="B5:L5"/>
    <mergeCell ref="B10:L10"/>
    <mergeCell ref="B30:B31"/>
    <mergeCell ref="C30:E30"/>
    <mergeCell ref="F30:H30"/>
    <mergeCell ref="I30:I31"/>
    <mergeCell ref="B49:C49"/>
    <mergeCell ref="B50:C50"/>
    <mergeCell ref="B52:L52"/>
    <mergeCell ref="B43:L43"/>
    <mergeCell ref="B45:C45"/>
    <mergeCell ref="B46:C46"/>
    <mergeCell ref="B47:C47"/>
    <mergeCell ref="B48:C48"/>
    <mergeCell ref="H50:L50"/>
  </mergeCells>
  <hyperlinks>
    <hyperlink ref="B7" r:id="rId1" xr:uid="{1FAF3868-9BBC-49E9-AE4D-36DB2F7B655C}"/>
    <hyperlink ref="B64" location="'Raw Materials'!A1" display="Return to Raw Materials tab" xr:uid="{B1305188-F0CC-4458-A4A6-3997FB3F6544}"/>
  </hyperlinks>
  <pageMargins left="0.7" right="0.7" top="0.75" bottom="0.75" header="0.3" footer="0.3"/>
  <pageSetup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A061A-A22A-4651-A953-3329EC76D661}">
  <sheetPr>
    <tabColor theme="0"/>
  </sheetPr>
  <dimension ref="A1:L102"/>
  <sheetViews>
    <sheetView showGridLines="0" workbookViewId="0">
      <selection activeCell="Q19" sqref="Q19"/>
    </sheetView>
  </sheetViews>
  <sheetFormatPr baseColWidth="10" defaultColWidth="8.83203125" defaultRowHeight="15" x14ac:dyDescent="0.2"/>
  <cols>
    <col min="1" max="1" width="2.6640625" customWidth="1"/>
    <col min="2" max="2" width="15.6640625" customWidth="1"/>
    <col min="3" max="3" width="29.6640625" customWidth="1"/>
    <col min="4" max="8" width="15.6640625" customWidth="1"/>
    <col min="9" max="9" width="31" customWidth="1"/>
    <col min="10" max="10" width="22.5" customWidth="1"/>
    <col min="11" max="11" width="3.33203125" customWidth="1"/>
    <col min="12" max="12" width="3" customWidth="1"/>
  </cols>
  <sheetData>
    <row r="1" spans="1:12" ht="15.75" customHeight="1" x14ac:dyDescent="0.2">
      <c r="A1" s="5"/>
      <c r="B1" s="1159" t="s">
        <v>0</v>
      </c>
      <c r="C1" s="1160"/>
      <c r="D1" s="1160"/>
      <c r="E1" s="1160"/>
      <c r="F1" s="1160"/>
      <c r="G1" s="1160"/>
      <c r="H1" s="1160"/>
      <c r="I1" s="1160"/>
      <c r="J1" s="1160"/>
      <c r="K1" s="1490"/>
      <c r="L1" s="5"/>
    </row>
    <row r="2" spans="1:12" ht="21" customHeight="1" x14ac:dyDescent="0.2">
      <c r="A2" s="5"/>
      <c r="B2" s="1161" t="s">
        <v>1</v>
      </c>
      <c r="C2" s="1162"/>
      <c r="D2" s="1162"/>
      <c r="E2" s="1162"/>
      <c r="F2" s="1162"/>
      <c r="G2" s="1162"/>
      <c r="H2" s="1162"/>
      <c r="I2" s="1162"/>
      <c r="J2" s="1162"/>
      <c r="K2" s="1491"/>
      <c r="L2" s="5"/>
    </row>
    <row r="3" spans="1:12" ht="18" x14ac:dyDescent="0.2">
      <c r="A3" s="5"/>
      <c r="B3" s="1163" t="s">
        <v>891</v>
      </c>
      <c r="C3" s="1165"/>
      <c r="D3" s="1165"/>
      <c r="E3" s="1165"/>
      <c r="F3" s="1165"/>
      <c r="G3" s="1165"/>
      <c r="H3" s="1165"/>
      <c r="I3" s="1165"/>
      <c r="J3" s="1165"/>
      <c r="K3" s="1326"/>
      <c r="L3" s="5"/>
    </row>
    <row r="4" spans="1:12" ht="18" x14ac:dyDescent="0.2">
      <c r="A4" s="5"/>
      <c r="B4" s="603"/>
      <c r="C4" s="597"/>
      <c r="D4" s="597"/>
      <c r="E4" s="597"/>
      <c r="F4" s="597"/>
      <c r="G4" s="597"/>
      <c r="H4" s="597"/>
      <c r="I4" s="597"/>
      <c r="J4" s="597"/>
      <c r="K4" s="6"/>
      <c r="L4" s="5"/>
    </row>
    <row r="5" spans="1:12" ht="61.5" customHeight="1" x14ac:dyDescent="0.2">
      <c r="A5" s="5"/>
      <c r="B5" s="1188" t="s">
        <v>892</v>
      </c>
      <c r="C5" s="1189"/>
      <c r="D5" s="1189"/>
      <c r="E5" s="1189"/>
      <c r="F5" s="1189"/>
      <c r="G5" s="1189"/>
      <c r="H5" s="1189"/>
      <c r="I5" s="1189"/>
      <c r="J5" s="1189"/>
      <c r="K5" s="1492"/>
      <c r="L5" s="5"/>
    </row>
    <row r="6" spans="1:12" ht="27" customHeight="1" x14ac:dyDescent="0.2">
      <c r="B6" s="137" t="s">
        <v>893</v>
      </c>
      <c r="C6" s="21"/>
      <c r="D6" s="21"/>
      <c r="E6" s="21"/>
      <c r="F6" s="21"/>
      <c r="G6" s="21"/>
      <c r="H6" s="21"/>
      <c r="I6" s="21"/>
      <c r="J6" s="21"/>
      <c r="K6" s="26"/>
    </row>
    <row r="7" spans="1:12" ht="29.25" customHeight="1" x14ac:dyDescent="0.2">
      <c r="B7" s="1526" t="s">
        <v>894</v>
      </c>
      <c r="C7" s="1527"/>
      <c r="D7" s="1527"/>
      <c r="E7" s="1527"/>
      <c r="F7" s="1527"/>
      <c r="G7" s="1527"/>
      <c r="H7" s="1527"/>
      <c r="I7" s="1527"/>
      <c r="J7" s="1527"/>
      <c r="K7" s="447"/>
    </row>
    <row r="8" spans="1:12" ht="26.25" customHeight="1" x14ac:dyDescent="0.2">
      <c r="B8" s="671"/>
      <c r="C8" s="672"/>
      <c r="D8" s="672" t="s">
        <v>895</v>
      </c>
      <c r="E8" s="37" t="s">
        <v>896</v>
      </c>
      <c r="F8" s="672"/>
      <c r="G8" s="672"/>
      <c r="H8" s="672"/>
      <c r="I8" s="672"/>
      <c r="J8" s="672"/>
      <c r="K8" s="613"/>
    </row>
    <row r="9" spans="1:12" x14ac:dyDescent="0.2">
      <c r="B9" s="671"/>
      <c r="C9" s="672"/>
      <c r="D9" s="672"/>
      <c r="E9" s="629" t="s">
        <v>897</v>
      </c>
      <c r="F9" s="672"/>
      <c r="G9" s="672"/>
      <c r="H9" s="672"/>
      <c r="I9" s="672"/>
      <c r="J9" s="672"/>
      <c r="K9" s="613"/>
    </row>
    <row r="10" spans="1:12" x14ac:dyDescent="0.2">
      <c r="B10" s="671"/>
      <c r="C10" s="672"/>
      <c r="D10" s="672"/>
      <c r="E10" s="629" t="s">
        <v>898</v>
      </c>
      <c r="F10" s="672"/>
      <c r="G10" s="672"/>
      <c r="H10" s="672"/>
      <c r="I10" s="672"/>
      <c r="J10" s="672"/>
      <c r="K10" s="613"/>
    </row>
    <row r="11" spans="1:12" x14ac:dyDescent="0.2">
      <c r="B11" s="671"/>
      <c r="C11" s="672"/>
      <c r="D11" s="672"/>
      <c r="E11" s="629" t="s">
        <v>899</v>
      </c>
      <c r="F11" s="672"/>
      <c r="G11" s="672"/>
      <c r="H11" s="672"/>
      <c r="I11" s="672"/>
      <c r="J11" s="672"/>
      <c r="K11" s="613"/>
    </row>
    <row r="12" spans="1:12" x14ac:dyDescent="0.2">
      <c r="B12" s="671"/>
      <c r="C12" s="672"/>
      <c r="D12" s="672"/>
      <c r="E12" s="629" t="s">
        <v>900</v>
      </c>
      <c r="F12" s="672"/>
      <c r="G12" s="672"/>
      <c r="H12" s="672"/>
      <c r="I12" s="672"/>
      <c r="J12" s="672"/>
      <c r="K12" s="613"/>
    </row>
    <row r="13" spans="1:12" x14ac:dyDescent="0.2">
      <c r="B13" s="671"/>
      <c r="C13" s="672"/>
      <c r="D13" s="672"/>
      <c r="E13" s="629" t="s">
        <v>901</v>
      </c>
      <c r="F13" s="672"/>
      <c r="G13" s="672"/>
      <c r="H13" s="672"/>
      <c r="I13" s="672"/>
      <c r="J13" s="672"/>
      <c r="K13" s="613"/>
    </row>
    <row r="14" spans="1:12" x14ac:dyDescent="0.2">
      <c r="B14" s="671"/>
      <c r="C14" s="672"/>
      <c r="D14" s="672"/>
      <c r="E14" s="629" t="s">
        <v>902</v>
      </c>
      <c r="F14" s="672"/>
      <c r="G14" s="672"/>
      <c r="H14" s="672"/>
      <c r="I14" s="672"/>
      <c r="J14" s="672"/>
      <c r="K14" s="613"/>
    </row>
    <row r="15" spans="1:12" x14ac:dyDescent="0.2">
      <c r="B15" s="671"/>
      <c r="C15" s="672"/>
      <c r="D15" s="672"/>
      <c r="E15" s="629"/>
      <c r="F15" s="672"/>
      <c r="G15" s="672"/>
      <c r="H15" s="672"/>
      <c r="I15" s="672"/>
      <c r="J15" s="672"/>
      <c r="K15" s="613"/>
    </row>
    <row r="16" spans="1:12" x14ac:dyDescent="0.2">
      <c r="B16" s="38" t="s">
        <v>903</v>
      </c>
      <c r="C16" s="672"/>
      <c r="D16" s="672"/>
      <c r="E16" s="629"/>
      <c r="F16" s="672"/>
      <c r="G16" s="672"/>
      <c r="H16" s="672"/>
      <c r="I16" s="672"/>
      <c r="J16" s="672"/>
      <c r="K16" s="613"/>
    </row>
    <row r="17" spans="2:11" x14ac:dyDescent="0.2">
      <c r="B17" s="38"/>
      <c r="C17" s="672"/>
      <c r="D17" s="672"/>
      <c r="E17" s="629"/>
      <c r="F17" s="672"/>
      <c r="G17" s="672"/>
      <c r="H17" s="672"/>
      <c r="I17" s="672"/>
      <c r="J17" s="672"/>
      <c r="K17" s="613"/>
    </row>
    <row r="18" spans="2:11" x14ac:dyDescent="0.2">
      <c r="B18" s="38" t="s">
        <v>904</v>
      </c>
      <c r="C18" s="672"/>
      <c r="D18" s="672"/>
      <c r="E18" s="629"/>
      <c r="F18" s="672"/>
      <c r="G18" s="672"/>
      <c r="H18" s="672"/>
      <c r="I18" s="672"/>
      <c r="J18" s="672"/>
      <c r="K18" s="613"/>
    </row>
    <row r="19" spans="2:11" x14ac:dyDescent="0.2">
      <c r="B19" s="38"/>
      <c r="C19" s="21"/>
      <c r="D19" s="21"/>
      <c r="E19" s="21"/>
      <c r="F19" s="21"/>
      <c r="G19" s="21"/>
      <c r="H19" s="21"/>
      <c r="I19" s="21"/>
      <c r="J19" s="21"/>
      <c r="K19" s="26"/>
    </row>
    <row r="20" spans="2:11" ht="16.5" customHeight="1" x14ac:dyDescent="0.2">
      <c r="B20" s="48"/>
      <c r="C20" s="612" t="s">
        <v>905</v>
      </c>
      <c r="D20" s="21"/>
      <c r="E20" s="21"/>
      <c r="F20" s="21"/>
      <c r="G20" s="21"/>
      <c r="H20" s="21"/>
      <c r="I20" s="21"/>
      <c r="J20" s="21"/>
      <c r="K20" s="26"/>
    </row>
    <row r="21" spans="2:11" x14ac:dyDescent="0.2">
      <c r="B21" s="38"/>
      <c r="C21" s="67"/>
      <c r="D21" s="1391" t="s">
        <v>906</v>
      </c>
      <c r="E21" s="1391"/>
      <c r="F21" s="1529"/>
      <c r="G21" s="1529"/>
      <c r="H21" s="21"/>
      <c r="I21" s="21"/>
      <c r="J21" s="21"/>
      <c r="K21" s="26"/>
    </row>
    <row r="22" spans="2:11" ht="28" x14ac:dyDescent="0.2">
      <c r="B22" s="38"/>
      <c r="C22" s="596" t="s">
        <v>907</v>
      </c>
      <c r="D22" s="130" t="s">
        <v>908</v>
      </c>
      <c r="E22" s="130" t="s">
        <v>909</v>
      </c>
      <c r="F22" s="139"/>
      <c r="G22" s="67"/>
      <c r="H22" s="21"/>
      <c r="I22" s="21"/>
      <c r="J22" s="21"/>
      <c r="K22" s="26"/>
    </row>
    <row r="23" spans="2:11" x14ac:dyDescent="0.2">
      <c r="B23" s="38"/>
      <c r="C23" s="596" t="s">
        <v>910</v>
      </c>
      <c r="D23" s="131">
        <v>0.40100000000000002</v>
      </c>
      <c r="E23" s="131">
        <v>0.53600000000000003</v>
      </c>
      <c r="F23" s="67"/>
      <c r="G23" s="21"/>
      <c r="H23" s="21"/>
      <c r="I23" s="21"/>
      <c r="J23" s="21"/>
      <c r="K23" s="26"/>
    </row>
    <row r="24" spans="2:11" x14ac:dyDescent="0.2">
      <c r="B24" s="38"/>
      <c r="C24" s="596" t="s">
        <v>911</v>
      </c>
      <c r="D24" s="131">
        <v>0.29599999999999999</v>
      </c>
      <c r="E24" s="131">
        <v>0.39600000000000002</v>
      </c>
      <c r="F24" s="67"/>
      <c r="G24" s="21"/>
      <c r="H24" s="21"/>
      <c r="I24" s="21"/>
      <c r="J24" s="21"/>
      <c r="K24" s="26"/>
    </row>
    <row r="25" spans="2:11" x14ac:dyDescent="0.2">
      <c r="B25" s="38"/>
      <c r="C25" s="596" t="s">
        <v>912</v>
      </c>
      <c r="D25" s="131">
        <v>0.17399999999999999</v>
      </c>
      <c r="E25" s="131">
        <v>0.23300000000000001</v>
      </c>
      <c r="F25" s="67"/>
      <c r="G25" s="21"/>
      <c r="H25" s="21"/>
      <c r="I25" s="21"/>
      <c r="J25" s="21"/>
      <c r="K25" s="26"/>
    </row>
    <row r="26" spans="2:11" x14ac:dyDescent="0.2">
      <c r="B26" s="38"/>
      <c r="C26" s="1530" t="s">
        <v>913</v>
      </c>
      <c r="D26" s="1530"/>
      <c r="E26" s="1530"/>
      <c r="F26" s="21"/>
      <c r="G26" s="21"/>
      <c r="H26" s="21"/>
      <c r="I26" s="21"/>
      <c r="J26" s="21"/>
      <c r="K26" s="26"/>
    </row>
    <row r="27" spans="2:11" x14ac:dyDescent="0.2">
      <c r="B27" s="38"/>
      <c r="C27" s="629"/>
      <c r="D27" s="629"/>
      <c r="E27" s="629"/>
      <c r="F27" s="21"/>
      <c r="G27" s="21"/>
      <c r="H27" s="21"/>
      <c r="I27" s="21"/>
      <c r="J27" s="21"/>
      <c r="K27" s="26"/>
    </row>
    <row r="28" spans="2:11" x14ac:dyDescent="0.2">
      <c r="B28" s="38" t="s">
        <v>914</v>
      </c>
      <c r="C28" s="629"/>
      <c r="D28" s="629"/>
      <c r="E28" s="629"/>
      <c r="F28" s="21"/>
      <c r="G28" s="21"/>
      <c r="H28" s="21"/>
      <c r="I28" s="21"/>
      <c r="J28" s="21"/>
      <c r="K28" s="26"/>
    </row>
    <row r="29" spans="2:11" ht="51.75" customHeight="1" x14ac:dyDescent="0.2">
      <c r="B29" s="1523" t="s">
        <v>915</v>
      </c>
      <c r="C29" s="1524"/>
      <c r="D29" s="1524"/>
      <c r="E29" s="1524"/>
      <c r="F29" s="1524"/>
      <c r="G29" s="1524"/>
      <c r="H29" s="1524"/>
      <c r="I29" s="1524"/>
      <c r="J29" s="1524"/>
      <c r="K29" s="26"/>
    </row>
    <row r="30" spans="2:11" ht="34.5" customHeight="1" x14ac:dyDescent="0.2">
      <c r="B30" s="1513" t="s">
        <v>916</v>
      </c>
      <c r="C30" s="1514"/>
      <c r="D30" s="1514"/>
      <c r="E30" s="1514"/>
      <c r="F30" s="1514"/>
      <c r="G30" s="1514"/>
      <c r="H30" s="1514"/>
      <c r="I30" s="1514"/>
      <c r="J30" s="1514"/>
      <c r="K30" s="26"/>
    </row>
    <row r="31" spans="2:11" x14ac:dyDescent="0.2">
      <c r="B31" s="1513" t="s">
        <v>917</v>
      </c>
      <c r="C31" s="1514"/>
      <c r="D31" s="1514"/>
      <c r="E31" s="1514"/>
      <c r="F31" s="1514"/>
      <c r="G31" s="1514"/>
      <c r="H31" s="1514"/>
      <c r="I31" s="1514"/>
      <c r="J31" s="1514"/>
      <c r="K31" s="26"/>
    </row>
    <row r="32" spans="2:11" x14ac:dyDescent="0.2">
      <c r="B32" s="1513" t="s">
        <v>918</v>
      </c>
      <c r="C32" s="1514"/>
      <c r="D32" s="1514"/>
      <c r="E32" s="1514"/>
      <c r="F32" s="1514"/>
      <c r="G32" s="1514"/>
      <c r="H32" s="1514"/>
      <c r="I32" s="1514"/>
      <c r="J32" s="1514"/>
      <c r="K32" s="26"/>
    </row>
    <row r="33" spans="2:11" x14ac:dyDescent="0.2">
      <c r="B33" s="1513" t="s">
        <v>919</v>
      </c>
      <c r="C33" s="1514"/>
      <c r="D33" s="1514"/>
      <c r="E33" s="1514"/>
      <c r="F33" s="1514"/>
      <c r="G33" s="1514"/>
      <c r="H33" s="1514"/>
      <c r="I33" s="1514"/>
      <c r="J33" s="1514"/>
      <c r="K33" s="26"/>
    </row>
    <row r="34" spans="2:11" x14ac:dyDescent="0.2">
      <c r="B34" s="1513" t="s">
        <v>920</v>
      </c>
      <c r="C34" s="1514"/>
      <c r="D34" s="1514"/>
      <c r="E34" s="1514"/>
      <c r="F34" s="1514"/>
      <c r="G34" s="1514"/>
      <c r="H34" s="1514"/>
      <c r="I34" s="1514"/>
      <c r="J34" s="1514"/>
      <c r="K34" s="26"/>
    </row>
    <row r="35" spans="2:11" x14ac:dyDescent="0.2">
      <c r="B35" s="1513" t="s">
        <v>921</v>
      </c>
      <c r="C35" s="1514"/>
      <c r="D35" s="1514"/>
      <c r="E35" s="1514"/>
      <c r="F35" s="1514"/>
      <c r="G35" s="1514"/>
      <c r="H35" s="1514"/>
      <c r="I35" s="1514"/>
      <c r="J35" s="1514"/>
      <c r="K35" s="26"/>
    </row>
    <row r="36" spans="2:11" ht="16.5" customHeight="1" x14ac:dyDescent="0.2">
      <c r="B36" s="38"/>
      <c r="C36" s="674"/>
      <c r="D36" s="674"/>
      <c r="E36" s="674"/>
      <c r="F36" s="674"/>
      <c r="G36" s="674"/>
      <c r="H36" s="674"/>
      <c r="I36" s="674"/>
      <c r="J36" s="674"/>
      <c r="K36" s="26"/>
    </row>
    <row r="37" spans="2:11" ht="16.5" customHeight="1" x14ac:dyDescent="0.2">
      <c r="B37" s="137" t="s">
        <v>922</v>
      </c>
      <c r="C37" s="674"/>
      <c r="D37" s="674"/>
      <c r="E37" s="674"/>
      <c r="F37" s="674"/>
      <c r="G37" s="674"/>
      <c r="H37" s="674"/>
      <c r="I37" s="674"/>
      <c r="J37" s="674"/>
      <c r="K37" s="26"/>
    </row>
    <row r="38" spans="2:11" ht="16.5" customHeight="1" x14ac:dyDescent="0.2">
      <c r="B38" s="614" t="s">
        <v>923</v>
      </c>
      <c r="C38" s="674"/>
      <c r="D38" s="674"/>
      <c r="E38" s="674"/>
      <c r="F38" s="674"/>
      <c r="G38" s="674"/>
      <c r="H38" s="674"/>
      <c r="I38" s="674"/>
      <c r="J38" s="674"/>
      <c r="K38" s="26"/>
    </row>
    <row r="39" spans="2:11" ht="27" customHeight="1" x14ac:dyDescent="0.2">
      <c r="B39" s="1188" t="s">
        <v>924</v>
      </c>
      <c r="C39" s="1189"/>
      <c r="D39" s="1189"/>
      <c r="E39" s="1189"/>
      <c r="F39" s="1189"/>
      <c r="G39" s="1189"/>
      <c r="H39" s="1189"/>
      <c r="I39" s="1189"/>
      <c r="J39" s="1189"/>
      <c r="K39" s="25"/>
    </row>
    <row r="40" spans="2:11" ht="16.5" customHeight="1" x14ac:dyDescent="0.2">
      <c r="B40" s="646"/>
      <c r="C40" s="647"/>
      <c r="D40" s="647"/>
      <c r="E40" s="647"/>
      <c r="F40" s="647"/>
      <c r="G40" s="647"/>
      <c r="H40" s="647"/>
      <c r="I40" s="647"/>
      <c r="J40" s="647"/>
      <c r="K40" s="666"/>
    </row>
    <row r="41" spans="2:11" ht="43" x14ac:dyDescent="0.2">
      <c r="B41" s="1515" t="s">
        <v>925</v>
      </c>
      <c r="C41" s="1516"/>
      <c r="D41" s="596" t="s">
        <v>926</v>
      </c>
      <c r="E41" s="596" t="s">
        <v>847</v>
      </c>
      <c r="F41" s="596" t="s">
        <v>927</v>
      </c>
      <c r="G41" s="596" t="s">
        <v>928</v>
      </c>
      <c r="H41" s="1520" t="s">
        <v>929</v>
      </c>
      <c r="I41" s="1521"/>
      <c r="J41" s="1521"/>
      <c r="K41" s="1522"/>
    </row>
    <row r="42" spans="2:11" ht="16.5" customHeight="1" x14ac:dyDescent="0.2">
      <c r="B42" s="1515" t="s">
        <v>930</v>
      </c>
      <c r="C42" s="1516"/>
      <c r="D42" s="596" t="s">
        <v>931</v>
      </c>
      <c r="E42" s="596" t="s">
        <v>932</v>
      </c>
      <c r="F42" s="136"/>
      <c r="G42" s="136"/>
      <c r="H42" s="1517" t="s">
        <v>933</v>
      </c>
      <c r="I42" s="1518"/>
      <c r="J42" s="1518"/>
      <c r="K42" s="1519"/>
    </row>
    <row r="43" spans="2:11" ht="16.5" customHeight="1" x14ac:dyDescent="0.2">
      <c r="B43" s="1515" t="s">
        <v>934</v>
      </c>
      <c r="C43" s="1516"/>
      <c r="D43" s="596" t="s">
        <v>379</v>
      </c>
      <c r="E43" s="596" t="s">
        <v>935</v>
      </c>
      <c r="F43" s="136"/>
      <c r="G43" s="136"/>
      <c r="H43" s="1517" t="s">
        <v>936</v>
      </c>
      <c r="I43" s="1518"/>
      <c r="J43" s="1518"/>
      <c r="K43" s="1519"/>
    </row>
    <row r="44" spans="2:11" ht="16.5" customHeight="1" x14ac:dyDescent="0.2">
      <c r="B44" s="1515" t="s">
        <v>937</v>
      </c>
      <c r="C44" s="1516"/>
      <c r="D44" s="596" t="s">
        <v>938</v>
      </c>
      <c r="E44" s="596" t="s">
        <v>466</v>
      </c>
      <c r="F44" s="174">
        <v>0.02</v>
      </c>
      <c r="G44" s="174">
        <v>0.02</v>
      </c>
      <c r="H44" s="1517" t="s">
        <v>939</v>
      </c>
      <c r="I44" s="1518"/>
      <c r="J44" s="1518"/>
      <c r="K44" s="1519"/>
    </row>
    <row r="45" spans="2:11" ht="16.5" customHeight="1" x14ac:dyDescent="0.2">
      <c r="B45" s="1515" t="s">
        <v>940</v>
      </c>
      <c r="C45" s="1516"/>
      <c r="D45" s="596" t="s">
        <v>941</v>
      </c>
      <c r="E45" s="596" t="s">
        <v>942</v>
      </c>
      <c r="F45" s="615">
        <f>2021-1952</f>
        <v>69</v>
      </c>
      <c r="G45" s="615">
        <f>2021-1952</f>
        <v>69</v>
      </c>
      <c r="H45" s="1517" t="s">
        <v>943</v>
      </c>
      <c r="I45" s="1518"/>
      <c r="J45" s="1518"/>
      <c r="K45" s="1519"/>
    </row>
    <row r="46" spans="2:11" ht="16.5" customHeight="1" x14ac:dyDescent="0.2">
      <c r="B46" s="1515" t="s">
        <v>944</v>
      </c>
      <c r="C46" s="1516"/>
      <c r="D46" s="596" t="s">
        <v>876</v>
      </c>
      <c r="E46" s="596" t="s">
        <v>945</v>
      </c>
      <c r="F46" s="598"/>
      <c r="G46" s="598"/>
      <c r="H46" s="1517" t="s">
        <v>946</v>
      </c>
      <c r="I46" s="1518"/>
      <c r="J46" s="1518"/>
      <c r="K46" s="1519"/>
    </row>
    <row r="47" spans="2:11" ht="28.5" customHeight="1" x14ac:dyDescent="0.2">
      <c r="B47" s="1531" t="s">
        <v>947</v>
      </c>
      <c r="C47" s="1532"/>
      <c r="D47" s="616" t="s">
        <v>876</v>
      </c>
      <c r="E47" s="616" t="s">
        <v>948</v>
      </c>
      <c r="F47" s="617"/>
      <c r="G47" s="617"/>
      <c r="H47" s="1526" t="s">
        <v>949</v>
      </c>
      <c r="I47" s="1527"/>
      <c r="J47" s="1527"/>
      <c r="K47" s="670"/>
    </row>
    <row r="48" spans="2:11" ht="16.5" customHeight="1" x14ac:dyDescent="0.2">
      <c r="B48" s="1515" t="s">
        <v>950</v>
      </c>
      <c r="C48" s="1516"/>
      <c r="D48" s="596" t="s">
        <v>951</v>
      </c>
      <c r="E48" s="596" t="s">
        <v>932</v>
      </c>
      <c r="F48" s="136"/>
      <c r="G48" s="136"/>
      <c r="H48" s="1517" t="s">
        <v>952</v>
      </c>
      <c r="I48" s="1518"/>
      <c r="J48" s="1518"/>
      <c r="K48" s="1519"/>
    </row>
    <row r="49" spans="2:11" ht="29.25" customHeight="1" x14ac:dyDescent="0.2">
      <c r="B49" s="1535" t="s">
        <v>953</v>
      </c>
      <c r="C49" s="1536"/>
      <c r="D49" s="616" t="s">
        <v>876</v>
      </c>
      <c r="E49" s="616" t="s">
        <v>954</v>
      </c>
      <c r="F49" s="620"/>
      <c r="G49" s="620"/>
      <c r="H49" s="1399" t="s">
        <v>955</v>
      </c>
      <c r="I49" s="1400"/>
      <c r="J49" s="1400"/>
      <c r="K49" s="670"/>
    </row>
    <row r="50" spans="2:11" ht="16.5" customHeight="1" x14ac:dyDescent="0.2">
      <c r="B50" s="1515" t="s">
        <v>956</v>
      </c>
      <c r="C50" s="1516"/>
      <c r="D50" s="596" t="s">
        <v>876</v>
      </c>
      <c r="E50" s="596" t="s">
        <v>466</v>
      </c>
      <c r="F50" s="174">
        <v>0.2</v>
      </c>
      <c r="G50" s="174">
        <v>0.2</v>
      </c>
      <c r="H50" s="1517" t="s">
        <v>957</v>
      </c>
      <c r="I50" s="1518"/>
      <c r="J50" s="1518"/>
      <c r="K50" s="1519"/>
    </row>
    <row r="51" spans="2:11" ht="16.5" customHeight="1" x14ac:dyDescent="0.2">
      <c r="B51" s="1515" t="s">
        <v>958</v>
      </c>
      <c r="C51" s="1516"/>
      <c r="D51" s="596" t="s">
        <v>876</v>
      </c>
      <c r="E51" s="596" t="s">
        <v>466</v>
      </c>
      <c r="F51" s="174">
        <v>0.72</v>
      </c>
      <c r="G51" s="174">
        <v>0.72</v>
      </c>
      <c r="H51" s="1517" t="s">
        <v>959</v>
      </c>
      <c r="I51" s="1518"/>
      <c r="J51" s="1518"/>
      <c r="K51" s="1519"/>
    </row>
    <row r="52" spans="2:11" ht="16.5" customHeight="1" x14ac:dyDescent="0.2">
      <c r="B52" s="140"/>
      <c r="C52" s="135"/>
      <c r="D52" s="673"/>
      <c r="E52" s="673"/>
      <c r="F52" s="673"/>
      <c r="G52" s="629"/>
      <c r="H52" s="629"/>
      <c r="I52" s="629"/>
      <c r="J52" s="629"/>
      <c r="K52" s="670"/>
    </row>
    <row r="53" spans="2:11" ht="16.5" customHeight="1" x14ac:dyDescent="0.2">
      <c r="B53" s="614" t="s">
        <v>170</v>
      </c>
      <c r="C53" s="135"/>
      <c r="D53" s="673"/>
      <c r="E53" s="673"/>
      <c r="F53" s="673"/>
      <c r="G53" s="629"/>
      <c r="H53" s="629"/>
      <c r="I53" s="629"/>
      <c r="J53" s="629"/>
      <c r="K53" s="670"/>
    </row>
    <row r="54" spans="2:11" ht="54" customHeight="1" x14ac:dyDescent="0.2">
      <c r="B54" s="38"/>
      <c r="C54" s="618"/>
      <c r="D54" s="45"/>
      <c r="E54" s="619" t="s">
        <v>960</v>
      </c>
      <c r="F54" s="673" t="str">
        <f>IF(AND(F42&lt;&gt;"",F43&lt;&gt;"",F46&lt;&gt;"",F47&lt;&gt;"",F48&lt;&gt;"",F49&lt;&gt;""),"New Technology:","Calculations will appear below based on data inputs above.")</f>
        <v>Calculations will appear below based on data inputs above.</v>
      </c>
      <c r="G54" s="673" t="str">
        <f>IF(AND(G42&lt;&gt;"",G43&lt;&gt;"",G46&lt;&gt;"",G47&lt;&gt;"",G48&lt;&gt;"",G49&lt;&gt;""),"Commercial Benchmark:","Calculations will appear below based on data inputs above.")</f>
        <v>Calculations will appear below based on data inputs above.</v>
      </c>
      <c r="H54" s="629"/>
      <c r="I54" s="629"/>
      <c r="J54" s="629"/>
      <c r="K54" s="670"/>
    </row>
    <row r="55" spans="2:11" x14ac:dyDescent="0.2">
      <c r="B55" s="38"/>
      <c r="C55" s="618"/>
      <c r="D55" s="45"/>
      <c r="E55" s="628" t="s">
        <v>961</v>
      </c>
      <c r="F55" s="630" t="str">
        <f>IF(F47&lt;&gt;"",F46/F47,"")</f>
        <v/>
      </c>
      <c r="G55" s="630" t="str">
        <f>IF(G47&lt;&gt;"",G46/G47,"")</f>
        <v/>
      </c>
      <c r="H55" s="629" t="s">
        <v>962</v>
      </c>
      <c r="I55" s="629"/>
      <c r="J55" s="629"/>
      <c r="K55" s="670"/>
    </row>
    <row r="56" spans="2:11" x14ac:dyDescent="0.2">
      <c r="B56" s="38"/>
      <c r="C56" s="618"/>
      <c r="D56" s="45"/>
      <c r="E56" s="628" t="s">
        <v>963</v>
      </c>
      <c r="F56" s="630" t="str">
        <f>IF(F55&lt;&gt;"",F55/2.205,"")</f>
        <v/>
      </c>
      <c r="G56" s="630" t="str">
        <f>IF(G55&lt;&gt;"",G55/2.205,"")</f>
        <v/>
      </c>
      <c r="H56" s="629" t="s">
        <v>964</v>
      </c>
      <c r="I56" s="629"/>
      <c r="J56" s="629"/>
      <c r="K56" s="670"/>
    </row>
    <row r="57" spans="2:11" ht="16.5" customHeight="1" x14ac:dyDescent="0.2">
      <c r="B57" s="84"/>
      <c r="C57" s="45"/>
      <c r="D57" s="45"/>
      <c r="E57" s="143" t="s">
        <v>965</v>
      </c>
      <c r="F57" s="633" t="e">
        <f>F42*F43*(1/((1+F44)^F45))*(1/F56^F48)</f>
        <v>#VALUE!</v>
      </c>
      <c r="G57" s="633" t="e">
        <f>G42*G43*(1/((1+G44)^G45))*(1/G56^G48)</f>
        <v>#VALUE!</v>
      </c>
      <c r="H57" s="629" t="s">
        <v>966</v>
      </c>
      <c r="I57" s="45"/>
      <c r="J57" s="45"/>
      <c r="K57" s="12"/>
    </row>
    <row r="58" spans="2:11" ht="16.5" customHeight="1" x14ac:dyDescent="0.2">
      <c r="B58" s="84"/>
      <c r="C58" s="45"/>
      <c r="D58" s="45"/>
      <c r="E58" s="628" t="s">
        <v>967</v>
      </c>
      <c r="F58" s="633" t="e">
        <f>(1/2.205)*F57</f>
        <v>#VALUE!</v>
      </c>
      <c r="G58" s="633" t="e">
        <f>(1/2.205)*G57</f>
        <v>#VALUE!</v>
      </c>
      <c r="H58" s="629" t="s">
        <v>968</v>
      </c>
      <c r="I58" s="45"/>
      <c r="J58" s="45"/>
      <c r="K58" s="12"/>
    </row>
    <row r="59" spans="2:11" ht="16.5" customHeight="1" x14ac:dyDescent="0.2">
      <c r="B59" s="84"/>
      <c r="C59" s="45"/>
      <c r="D59" s="45"/>
      <c r="E59" s="143" t="s">
        <v>969</v>
      </c>
      <c r="F59" s="418" t="e">
        <f>F58*F46</f>
        <v>#VALUE!</v>
      </c>
      <c r="G59" s="418" t="e">
        <f>G58*G46</f>
        <v>#VALUE!</v>
      </c>
      <c r="H59" s="629" t="s">
        <v>970</v>
      </c>
      <c r="I59" s="45"/>
      <c r="J59" s="45"/>
      <c r="K59" s="12"/>
    </row>
    <row r="60" spans="2:11" ht="16.5" customHeight="1" x14ac:dyDescent="0.2">
      <c r="B60" s="84"/>
      <c r="C60" s="45"/>
      <c r="D60" s="45"/>
      <c r="E60" s="628" t="s">
        <v>971</v>
      </c>
      <c r="F60" s="631" t="e">
        <f>F59/2080</f>
        <v>#VALUE!</v>
      </c>
      <c r="G60" s="631" t="e">
        <f>G59/2080</f>
        <v>#VALUE!</v>
      </c>
      <c r="H60" s="629" t="s">
        <v>972</v>
      </c>
      <c r="I60" s="45"/>
      <c r="J60" s="45"/>
      <c r="K60" s="12"/>
    </row>
    <row r="61" spans="2:11" ht="16.5" customHeight="1" x14ac:dyDescent="0.2">
      <c r="B61" s="84"/>
      <c r="C61" s="45"/>
      <c r="D61" s="45"/>
      <c r="E61" s="143" t="s">
        <v>973</v>
      </c>
      <c r="F61" s="633" t="e">
        <f>F58*(1+F50)</f>
        <v>#VALUE!</v>
      </c>
      <c r="G61" s="633" t="e">
        <f>G58*(1+G50)</f>
        <v>#VALUE!</v>
      </c>
      <c r="H61" s="629" t="s">
        <v>974</v>
      </c>
      <c r="I61" s="45"/>
      <c r="J61" s="45"/>
      <c r="K61" s="12"/>
    </row>
    <row r="62" spans="2:11" ht="16.5" customHeight="1" x14ac:dyDescent="0.2">
      <c r="B62" s="84"/>
      <c r="C62" s="45"/>
      <c r="D62" s="45"/>
      <c r="E62" s="143" t="s">
        <v>969</v>
      </c>
      <c r="F62" s="418" t="e">
        <f>F61*F46</f>
        <v>#VALUE!</v>
      </c>
      <c r="G62" s="418" t="e">
        <f>G61*G46</f>
        <v>#VALUE!</v>
      </c>
      <c r="H62" s="629" t="s">
        <v>975</v>
      </c>
      <c r="I62" s="45"/>
      <c r="J62" s="45"/>
      <c r="K62" s="12"/>
    </row>
    <row r="63" spans="2:11" ht="16.5" customHeight="1" x14ac:dyDescent="0.2">
      <c r="B63" s="84"/>
      <c r="C63" s="45"/>
      <c r="D63" s="142"/>
      <c r="E63" s="143" t="s">
        <v>971</v>
      </c>
      <c r="F63" s="631" t="e">
        <f>F62/2080</f>
        <v>#VALUE!</v>
      </c>
      <c r="G63" s="631" t="e">
        <f>G62/2080</f>
        <v>#VALUE!</v>
      </c>
      <c r="H63" s="629" t="s">
        <v>976</v>
      </c>
      <c r="I63" s="45"/>
      <c r="J63" s="45"/>
      <c r="K63" s="12"/>
    </row>
    <row r="64" spans="2:11" ht="16.5" customHeight="1" x14ac:dyDescent="0.2">
      <c r="B64" s="125"/>
      <c r="C64" s="142"/>
      <c r="D64" s="132"/>
      <c r="E64" s="35" t="s">
        <v>977</v>
      </c>
      <c r="F64" s="632" t="e">
        <f>F49*F63</f>
        <v>#VALUE!</v>
      </c>
      <c r="G64" s="632" t="e">
        <f>G49*G63</f>
        <v>#VALUE!</v>
      </c>
      <c r="H64" s="21" t="s">
        <v>978</v>
      </c>
      <c r="I64" s="45"/>
      <c r="J64" s="45"/>
      <c r="K64" s="12"/>
    </row>
    <row r="65" spans="2:11" ht="16.5" customHeight="1" x14ac:dyDescent="0.2">
      <c r="B65" s="125"/>
      <c r="C65" s="142"/>
      <c r="D65" s="23"/>
      <c r="E65" s="143" t="s">
        <v>979</v>
      </c>
      <c r="F65" s="643" t="e">
        <f>F51*F64</f>
        <v>#VALUE!</v>
      </c>
      <c r="G65" s="643" t="e">
        <f>G51*G64</f>
        <v>#VALUE!</v>
      </c>
      <c r="H65" s="21" t="s">
        <v>978</v>
      </c>
      <c r="I65" s="45"/>
      <c r="J65" s="45"/>
      <c r="K65" s="12"/>
    </row>
    <row r="66" spans="2:11" ht="16.5" customHeight="1" x14ac:dyDescent="0.2">
      <c r="B66" s="125"/>
      <c r="C66" s="142"/>
      <c r="D66" s="23"/>
      <c r="E66" s="143" t="s">
        <v>980</v>
      </c>
      <c r="F66" s="632" t="e">
        <f>F64+F65</f>
        <v>#VALUE!</v>
      </c>
      <c r="G66" s="632" t="e">
        <f>G64+G65</f>
        <v>#VALUE!</v>
      </c>
      <c r="H66" s="21" t="s">
        <v>978</v>
      </c>
      <c r="I66" s="45"/>
      <c r="J66" s="45"/>
      <c r="K66" s="12"/>
    </row>
    <row r="67" spans="2:11" ht="16.5" customHeight="1" x14ac:dyDescent="0.2">
      <c r="B67" s="84"/>
      <c r="C67" s="45"/>
      <c r="D67" s="673"/>
      <c r="E67" s="673"/>
      <c r="F67" s="673"/>
      <c r="G67" s="45"/>
      <c r="H67" s="45"/>
      <c r="I67" s="45"/>
      <c r="J67" s="45"/>
      <c r="K67" s="12"/>
    </row>
    <row r="68" spans="2:11" ht="16.5" customHeight="1" x14ac:dyDescent="0.2">
      <c r="B68" s="614" t="s">
        <v>981</v>
      </c>
      <c r="C68" s="45"/>
      <c r="D68" s="673"/>
      <c r="E68" s="673"/>
      <c r="F68" s="673"/>
      <c r="H68" s="45"/>
      <c r="I68" s="45"/>
      <c r="J68" s="45"/>
      <c r="K68" s="12"/>
    </row>
    <row r="69" spans="2:11" ht="31.5" customHeight="1" x14ac:dyDescent="0.2">
      <c r="B69" s="1188" t="s">
        <v>982</v>
      </c>
      <c r="C69" s="1189"/>
      <c r="D69" s="1189"/>
      <c r="E69" s="1189"/>
      <c r="F69" s="1189"/>
      <c r="G69" s="1189"/>
      <c r="H69" s="1189"/>
      <c r="I69" s="1189"/>
      <c r="J69" s="1189"/>
      <c r="K69" s="666"/>
    </row>
    <row r="70" spans="2:11" x14ac:dyDescent="0.2">
      <c r="B70" s="646"/>
      <c r="C70" s="647"/>
      <c r="D70" s="647"/>
      <c r="E70" s="647"/>
      <c r="F70" s="647"/>
      <c r="G70" s="647"/>
      <c r="H70" s="647"/>
      <c r="I70" s="647"/>
      <c r="J70" s="647"/>
      <c r="K70" s="666"/>
    </row>
    <row r="71" spans="2:11" ht="16.5" customHeight="1" x14ac:dyDescent="0.2">
      <c r="B71" s="627" t="s">
        <v>983</v>
      </c>
      <c r="C71" s="45"/>
      <c r="D71" s="45"/>
      <c r="E71" s="647"/>
      <c r="F71" s="673"/>
      <c r="G71" s="629"/>
      <c r="H71" s="21"/>
      <c r="I71" s="21"/>
      <c r="J71" s="647"/>
      <c r="K71" s="26"/>
    </row>
    <row r="72" spans="2:11" ht="43" x14ac:dyDescent="0.2">
      <c r="B72" s="1339"/>
      <c r="C72" s="1341"/>
      <c r="D72" s="54" t="s">
        <v>984</v>
      </c>
      <c r="E72" s="54" t="s">
        <v>537</v>
      </c>
      <c r="F72" s="54" t="s">
        <v>538</v>
      </c>
      <c r="G72" s="54" t="s">
        <v>985</v>
      </c>
      <c r="H72" s="151"/>
      <c r="I72" s="57"/>
      <c r="J72" s="57"/>
      <c r="K72" s="26"/>
    </row>
    <row r="73" spans="2:11" ht="16.5" customHeight="1" x14ac:dyDescent="0.2">
      <c r="B73" s="1342" t="s">
        <v>986</v>
      </c>
      <c r="C73" s="1343"/>
      <c r="D73" s="640" t="e">
        <f>F63</f>
        <v>#VALUE!</v>
      </c>
      <c r="E73" s="641">
        <f>F49</f>
        <v>0</v>
      </c>
      <c r="F73" s="642">
        <f>F51</f>
        <v>0.72</v>
      </c>
      <c r="G73" s="596" t="e">
        <f>D73*E73*F73</f>
        <v>#VALUE!</v>
      </c>
      <c r="H73" s="152"/>
      <c r="I73" s="21"/>
      <c r="J73" s="21"/>
      <c r="K73" s="670"/>
    </row>
    <row r="74" spans="2:11" x14ac:dyDescent="0.2">
      <c r="B74" s="38"/>
      <c r="C74" s="21"/>
      <c r="D74" s="162" t="s">
        <v>987</v>
      </c>
      <c r="E74" s="162" t="s">
        <v>987</v>
      </c>
      <c r="F74" s="162" t="s">
        <v>987</v>
      </c>
      <c r="G74" s="21"/>
      <c r="H74" s="21"/>
      <c r="I74" s="623"/>
      <c r="J74" s="623"/>
      <c r="K74" s="26"/>
    </row>
    <row r="75" spans="2:11" ht="47.25" customHeight="1" x14ac:dyDescent="0.2">
      <c r="B75" s="38"/>
      <c r="C75" s="21"/>
      <c r="D75" s="1525" t="s">
        <v>988</v>
      </c>
      <c r="E75" s="1525"/>
      <c r="F75" s="1525"/>
      <c r="G75" s="21"/>
      <c r="H75" s="21"/>
      <c r="I75" s="623"/>
      <c r="J75" s="623"/>
      <c r="K75" s="26"/>
    </row>
    <row r="76" spans="2:11" x14ac:dyDescent="0.2">
      <c r="B76" s="627" t="s">
        <v>989</v>
      </c>
      <c r="C76" s="45"/>
      <c r="D76" s="45"/>
      <c r="E76" s="647"/>
      <c r="F76" s="673"/>
      <c r="G76" s="21"/>
      <c r="H76" s="21"/>
      <c r="I76" s="623"/>
      <c r="J76" s="623"/>
      <c r="K76" s="26"/>
    </row>
    <row r="77" spans="2:11" ht="43" x14ac:dyDescent="0.2">
      <c r="B77" s="1339"/>
      <c r="C77" s="1341"/>
      <c r="D77" s="54" t="s">
        <v>984</v>
      </c>
      <c r="E77" s="54" t="s">
        <v>537</v>
      </c>
      <c r="F77" s="54" t="s">
        <v>538</v>
      </c>
      <c r="G77" s="54" t="s">
        <v>985</v>
      </c>
      <c r="H77" s="21"/>
      <c r="I77" s="623"/>
      <c r="J77" s="623"/>
      <c r="K77" s="26"/>
    </row>
    <row r="78" spans="2:11" x14ac:dyDescent="0.2">
      <c r="B78" s="1342" t="s">
        <v>986</v>
      </c>
      <c r="C78" s="1343"/>
      <c r="D78" s="640" t="e">
        <f>G63</f>
        <v>#VALUE!</v>
      </c>
      <c r="E78" s="641">
        <f>G49</f>
        <v>0</v>
      </c>
      <c r="F78" s="642">
        <f>G51</f>
        <v>0.72</v>
      </c>
      <c r="G78" s="596" t="e">
        <f>D78*E78*F78</f>
        <v>#VALUE!</v>
      </c>
      <c r="H78" s="21"/>
      <c r="I78" s="623"/>
      <c r="J78" s="623"/>
      <c r="K78" s="26"/>
    </row>
    <row r="79" spans="2:11" x14ac:dyDescent="0.2">
      <c r="B79" s="38"/>
      <c r="C79" s="21"/>
      <c r="D79" s="162" t="s">
        <v>987</v>
      </c>
      <c r="E79" s="162" t="s">
        <v>987</v>
      </c>
      <c r="F79" s="162" t="s">
        <v>987</v>
      </c>
      <c r="G79" s="21"/>
      <c r="H79" s="21"/>
      <c r="I79" s="623"/>
      <c r="J79" s="623"/>
      <c r="K79" s="26"/>
    </row>
    <row r="80" spans="2:11" ht="64.5" customHeight="1" x14ac:dyDescent="0.2">
      <c r="B80" s="141"/>
      <c r="C80" s="9"/>
      <c r="D80" s="1525" t="s">
        <v>988</v>
      </c>
      <c r="E80" s="1525"/>
      <c r="F80" s="1525"/>
      <c r="G80" s="9"/>
      <c r="H80" s="9"/>
      <c r="I80" s="1528"/>
      <c r="J80" s="1528"/>
      <c r="K80" s="27"/>
    </row>
    <row r="81" spans="2:11" ht="18" x14ac:dyDescent="0.2">
      <c r="B81" s="144" t="s">
        <v>990</v>
      </c>
      <c r="C81" s="145"/>
      <c r="D81" s="145"/>
      <c r="E81" s="145"/>
      <c r="F81" s="145"/>
      <c r="G81" s="625"/>
      <c r="H81" s="625"/>
      <c r="I81" s="625"/>
      <c r="J81" s="625"/>
      <c r="K81" s="626"/>
    </row>
    <row r="82" spans="2:11" x14ac:dyDescent="0.2">
      <c r="B82" s="38" t="s">
        <v>991</v>
      </c>
      <c r="C82" s="21"/>
      <c r="D82" s="21"/>
      <c r="E82" s="21"/>
      <c r="F82" s="21"/>
      <c r="G82" s="21"/>
      <c r="H82" s="21"/>
      <c r="I82" s="21"/>
      <c r="J82" s="21"/>
      <c r="K82" s="26"/>
    </row>
    <row r="83" spans="2:11" x14ac:dyDescent="0.2">
      <c r="B83" s="38" t="s">
        <v>992</v>
      </c>
      <c r="C83" s="21"/>
      <c r="D83" s="21"/>
      <c r="E83" s="21"/>
      <c r="F83" s="21"/>
      <c r="G83" s="21"/>
      <c r="H83" s="21"/>
      <c r="I83" s="21"/>
      <c r="J83" s="21"/>
      <c r="K83" s="26"/>
    </row>
    <row r="84" spans="2:11" x14ac:dyDescent="0.2">
      <c r="B84" s="38" t="s">
        <v>993</v>
      </c>
      <c r="C84" s="21"/>
      <c r="D84" s="21"/>
      <c r="E84" s="21"/>
      <c r="F84" s="21"/>
      <c r="G84" s="21"/>
      <c r="H84" s="21"/>
      <c r="I84" s="21"/>
      <c r="J84" s="21"/>
      <c r="K84" s="26"/>
    </row>
    <row r="85" spans="2:11" x14ac:dyDescent="0.2">
      <c r="B85" s="141"/>
      <c r="C85" s="9"/>
      <c r="D85" s="9"/>
      <c r="E85" s="9"/>
      <c r="F85" s="9"/>
      <c r="G85" s="9"/>
      <c r="H85" s="9"/>
      <c r="I85" s="9"/>
      <c r="J85" s="9"/>
      <c r="K85" s="27"/>
    </row>
    <row r="86" spans="2:11" ht="18" x14ac:dyDescent="0.2">
      <c r="B86" s="624" t="s">
        <v>994</v>
      </c>
      <c r="C86" s="621"/>
      <c r="D86" s="621"/>
      <c r="E86" s="621"/>
      <c r="F86" s="621"/>
      <c r="G86" s="621"/>
      <c r="H86" s="621"/>
      <c r="I86" s="621"/>
      <c r="J86" s="621"/>
      <c r="K86" s="622"/>
    </row>
    <row r="87" spans="2:11" ht="18" x14ac:dyDescent="0.2">
      <c r="B87" s="7" t="s">
        <v>995</v>
      </c>
      <c r="C87" s="597"/>
      <c r="D87" s="597"/>
      <c r="E87" s="597"/>
      <c r="F87" s="597"/>
      <c r="G87" s="597"/>
      <c r="H87" s="597"/>
      <c r="I87" s="597"/>
      <c r="J87" s="597"/>
      <c r="K87" s="6"/>
    </row>
    <row r="88" spans="2:11" x14ac:dyDescent="0.2">
      <c r="B88" s="147"/>
      <c r="C88" s="148"/>
      <c r="D88" s="148"/>
      <c r="E88" s="148"/>
      <c r="F88" s="148"/>
      <c r="G88" s="148"/>
      <c r="H88" s="148"/>
      <c r="I88" s="148"/>
      <c r="J88" s="148"/>
      <c r="K88" s="51"/>
    </row>
    <row r="89" spans="2:11" x14ac:dyDescent="0.2">
      <c r="B89" s="147"/>
      <c r="C89" s="148"/>
      <c r="D89" s="148"/>
      <c r="E89" s="148"/>
      <c r="F89" s="148"/>
      <c r="G89" s="148"/>
      <c r="H89" s="148"/>
      <c r="I89" s="148"/>
      <c r="J89" s="148"/>
      <c r="K89" s="51"/>
    </row>
    <row r="90" spans="2:11" x14ac:dyDescent="0.2">
      <c r="B90" s="147"/>
      <c r="C90" s="148"/>
      <c r="D90" s="148"/>
      <c r="E90" s="148"/>
      <c r="F90" s="148"/>
      <c r="G90" s="148"/>
      <c r="H90" s="148"/>
      <c r="I90" s="148"/>
      <c r="J90" s="148"/>
      <c r="K90" s="51"/>
    </row>
    <row r="91" spans="2:11" x14ac:dyDescent="0.2">
      <c r="B91" s="147"/>
      <c r="C91" s="148"/>
      <c r="D91" s="148"/>
      <c r="E91" s="148"/>
      <c r="F91" s="148"/>
      <c r="G91" s="148"/>
      <c r="H91" s="148"/>
      <c r="I91" s="148"/>
      <c r="J91" s="148"/>
      <c r="K91" s="51"/>
    </row>
    <row r="92" spans="2:11" x14ac:dyDescent="0.2">
      <c r="B92" s="147"/>
      <c r="C92" s="148"/>
      <c r="D92" s="148"/>
      <c r="E92" s="148"/>
      <c r="F92" s="148"/>
      <c r="G92" s="148"/>
      <c r="H92" s="148"/>
      <c r="I92" s="148"/>
      <c r="J92" s="148"/>
      <c r="K92" s="51"/>
    </row>
    <row r="93" spans="2:11" x14ac:dyDescent="0.2">
      <c r="B93" s="147"/>
      <c r="C93" s="148"/>
      <c r="D93" s="148"/>
      <c r="E93" s="148"/>
      <c r="F93" s="148"/>
      <c r="G93" s="148"/>
      <c r="H93" s="148"/>
      <c r="I93" s="148"/>
      <c r="J93" s="148"/>
      <c r="K93" s="51"/>
    </row>
    <row r="94" spans="2:11" x14ac:dyDescent="0.2">
      <c r="B94" s="147"/>
      <c r="C94" s="148"/>
      <c r="D94" s="148"/>
      <c r="E94" s="148"/>
      <c r="F94" s="148"/>
      <c r="G94" s="148"/>
      <c r="H94" s="148"/>
      <c r="I94" s="148"/>
      <c r="J94" s="148"/>
      <c r="K94" s="51"/>
    </row>
    <row r="95" spans="2:11" x14ac:dyDescent="0.2">
      <c r="B95" s="147"/>
      <c r="C95" s="148"/>
      <c r="D95" s="148"/>
      <c r="E95" s="148"/>
      <c r="F95" s="148"/>
      <c r="G95" s="148"/>
      <c r="H95" s="148"/>
      <c r="I95" s="148"/>
      <c r="J95" s="148"/>
      <c r="K95" s="51"/>
    </row>
    <row r="96" spans="2:11" x14ac:dyDescent="0.2">
      <c r="B96" s="147"/>
      <c r="C96" s="148"/>
      <c r="D96" s="148"/>
      <c r="E96" s="148"/>
      <c r="F96" s="148"/>
      <c r="G96" s="148"/>
      <c r="H96" s="148"/>
      <c r="I96" s="148"/>
      <c r="J96" s="148"/>
      <c r="K96" s="51"/>
    </row>
    <row r="97" spans="2:11" x14ac:dyDescent="0.2">
      <c r="B97" s="147"/>
      <c r="C97" s="148"/>
      <c r="D97" s="148"/>
      <c r="E97" s="148"/>
      <c r="F97" s="148"/>
      <c r="G97" s="148"/>
      <c r="H97" s="148"/>
      <c r="I97" s="148"/>
      <c r="J97" s="148"/>
      <c r="K97" s="51"/>
    </row>
    <row r="98" spans="2:11" x14ac:dyDescent="0.2">
      <c r="B98" s="147"/>
      <c r="C98" s="148"/>
      <c r="D98" s="148"/>
      <c r="E98" s="148"/>
      <c r="F98" s="148"/>
      <c r="G98" s="148"/>
      <c r="H98" s="148"/>
      <c r="I98" s="148"/>
      <c r="J98" s="148"/>
      <c r="K98" s="51"/>
    </row>
    <row r="99" spans="2:11" x14ac:dyDescent="0.2">
      <c r="B99" s="147"/>
      <c r="C99" s="148"/>
      <c r="D99" s="148"/>
      <c r="E99" s="148"/>
      <c r="F99" s="148"/>
      <c r="G99" s="148"/>
      <c r="H99" s="148"/>
      <c r="I99" s="148"/>
      <c r="J99" s="148"/>
      <c r="K99" s="51"/>
    </row>
    <row r="100" spans="2:11" x14ac:dyDescent="0.2">
      <c r="B100" s="147"/>
      <c r="C100" s="148"/>
      <c r="D100" s="148"/>
      <c r="E100" s="148"/>
      <c r="F100" s="148"/>
      <c r="G100" s="148"/>
      <c r="H100" s="148"/>
      <c r="I100" s="148"/>
      <c r="J100" s="148"/>
      <c r="K100" s="51"/>
    </row>
    <row r="101" spans="2:11" x14ac:dyDescent="0.2">
      <c r="B101" s="38"/>
      <c r="C101" s="21"/>
      <c r="D101" s="9"/>
      <c r="E101" s="9"/>
      <c r="F101" s="9"/>
      <c r="G101" s="9"/>
      <c r="H101" s="9"/>
      <c r="I101" s="9"/>
      <c r="J101" s="9"/>
      <c r="K101" s="27"/>
    </row>
    <row r="102" spans="2:11" x14ac:dyDescent="0.2">
      <c r="B102" s="1533" t="s">
        <v>996</v>
      </c>
      <c r="C102" s="1534"/>
    </row>
  </sheetData>
  <mergeCells count="47">
    <mergeCell ref="B102:C102"/>
    <mergeCell ref="H51:K51"/>
    <mergeCell ref="B77:C77"/>
    <mergeCell ref="B78:C78"/>
    <mergeCell ref="B39:J39"/>
    <mergeCell ref="H47:J47"/>
    <mergeCell ref="H46:K46"/>
    <mergeCell ref="B72:C72"/>
    <mergeCell ref="B73:C73"/>
    <mergeCell ref="B49:C49"/>
    <mergeCell ref="B50:C50"/>
    <mergeCell ref="H50:K50"/>
    <mergeCell ref="B48:C48"/>
    <mergeCell ref="H48:K48"/>
    <mergeCell ref="D75:F75"/>
    <mergeCell ref="B46:C46"/>
    <mergeCell ref="D80:F80"/>
    <mergeCell ref="B51:C51"/>
    <mergeCell ref="B7:J7"/>
    <mergeCell ref="H49:J49"/>
    <mergeCell ref="B69:J69"/>
    <mergeCell ref="I80:J80"/>
    <mergeCell ref="D21:E21"/>
    <mergeCell ref="F21:G21"/>
    <mergeCell ref="C26:E26"/>
    <mergeCell ref="B47:C47"/>
    <mergeCell ref="B33:J33"/>
    <mergeCell ref="B34:J34"/>
    <mergeCell ref="B35:J35"/>
    <mergeCell ref="H42:K42"/>
    <mergeCell ref="H43:K43"/>
    <mergeCell ref="H44:K44"/>
    <mergeCell ref="B1:K1"/>
    <mergeCell ref="B2:K2"/>
    <mergeCell ref="B3:K3"/>
    <mergeCell ref="B5:K5"/>
    <mergeCell ref="B29:J29"/>
    <mergeCell ref="B30:J30"/>
    <mergeCell ref="B31:J31"/>
    <mergeCell ref="B32:J32"/>
    <mergeCell ref="B45:C45"/>
    <mergeCell ref="H45:K45"/>
    <mergeCell ref="B44:C44"/>
    <mergeCell ref="B43:C43"/>
    <mergeCell ref="B42:C42"/>
    <mergeCell ref="B41:C41"/>
    <mergeCell ref="H41:K41"/>
  </mergeCells>
  <hyperlinks>
    <hyperlink ref="B102" location="OpEx!A1" display="Return to OpEx tab" xr:uid="{0728E16E-9DE0-42B1-9A1D-F5B4A9292FEB}"/>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DB14A-C02C-4118-AAA3-507C9E5CE8B4}">
  <sheetPr>
    <tabColor rgb="FF7030A0"/>
  </sheetPr>
  <dimension ref="A1:P97"/>
  <sheetViews>
    <sheetView showGridLines="0" zoomScaleNormal="100" workbookViewId="0">
      <selection activeCell="K6" sqref="K6"/>
    </sheetView>
  </sheetViews>
  <sheetFormatPr baseColWidth="10" defaultColWidth="8.83203125" defaultRowHeight="15" x14ac:dyDescent="0.2"/>
  <cols>
    <col min="1" max="1" width="2.6640625" customWidth="1"/>
    <col min="2" max="2" width="15.6640625" customWidth="1"/>
    <col min="3" max="3" width="18.5" customWidth="1"/>
    <col min="4" max="4" width="15.6640625" customWidth="1"/>
    <col min="5" max="5" width="31.5" customWidth="1"/>
    <col min="6" max="10" width="15.6640625" customWidth="1"/>
    <col min="11" max="11" width="43.5" bestFit="1" customWidth="1"/>
    <col min="12" max="12" width="33.5" customWidth="1"/>
    <col min="13" max="13" width="3" customWidth="1"/>
    <col min="14" max="14" width="44.6640625" customWidth="1"/>
  </cols>
  <sheetData>
    <row r="1" spans="1:16" ht="15.75" customHeight="1" x14ac:dyDescent="0.2">
      <c r="A1" s="5"/>
      <c r="B1" s="1159" t="s">
        <v>0</v>
      </c>
      <c r="C1" s="1159"/>
      <c r="D1" s="1159"/>
      <c r="E1" s="1159"/>
      <c r="F1" s="1159"/>
      <c r="G1" s="1159"/>
      <c r="H1" s="1159"/>
      <c r="I1" s="1159"/>
      <c r="J1" s="1159"/>
      <c r="K1" s="1159"/>
      <c r="L1" s="1359"/>
      <c r="M1" s="5"/>
    </row>
    <row r="2" spans="1:16" ht="21" customHeight="1" x14ac:dyDescent="0.2">
      <c r="A2" s="5"/>
      <c r="B2" s="1161" t="s">
        <v>1</v>
      </c>
      <c r="C2" s="1161"/>
      <c r="D2" s="1161"/>
      <c r="E2" s="1161"/>
      <c r="F2" s="1161"/>
      <c r="G2" s="1161"/>
      <c r="H2" s="1161"/>
      <c r="I2" s="1161"/>
      <c r="J2" s="1161"/>
      <c r="K2" s="1161"/>
      <c r="L2" s="1556"/>
      <c r="M2" s="5"/>
    </row>
    <row r="3" spans="1:16" ht="18" x14ac:dyDescent="0.2">
      <c r="A3" s="5"/>
      <c r="B3" s="1163" t="s">
        <v>997</v>
      </c>
      <c r="C3" s="1163"/>
      <c r="D3" s="1163"/>
      <c r="E3" s="1163"/>
      <c r="F3" s="1163"/>
      <c r="G3" s="1163"/>
      <c r="H3" s="1163"/>
      <c r="I3" s="1163"/>
      <c r="J3" s="1163"/>
      <c r="K3" s="1163"/>
      <c r="L3" s="1562"/>
      <c r="M3" s="5"/>
    </row>
    <row r="4" spans="1:16" s="134" customFormat="1" ht="31.5" customHeight="1" x14ac:dyDescent="0.2">
      <c r="A4" s="133"/>
      <c r="B4" s="1551" t="s">
        <v>998</v>
      </c>
      <c r="C4" s="1551"/>
      <c r="D4" s="1551"/>
      <c r="E4" s="1551"/>
      <c r="F4" s="1551"/>
      <c r="G4" s="1551"/>
      <c r="H4" s="1551"/>
      <c r="I4" s="1551"/>
      <c r="J4" s="1551"/>
      <c r="K4" s="1551"/>
      <c r="L4" s="1552"/>
      <c r="M4" s="133"/>
    </row>
    <row r="5" spans="1:16" ht="36" customHeight="1" x14ac:dyDescent="0.2">
      <c r="A5" s="5"/>
      <c r="B5" s="1188" t="s">
        <v>999</v>
      </c>
      <c r="C5" s="1188"/>
      <c r="D5" s="1188"/>
      <c r="E5" s="1188"/>
      <c r="F5" s="1188"/>
      <c r="G5" s="1188"/>
      <c r="H5" s="1188"/>
      <c r="I5" s="1188"/>
      <c r="J5" s="1188"/>
      <c r="K5" s="1188"/>
      <c r="L5" s="1550"/>
      <c r="M5" s="5"/>
      <c r="N5" s="804"/>
    </row>
    <row r="6" spans="1:16" ht="41.25" customHeight="1" x14ac:dyDescent="0.2">
      <c r="B6" s="1541" t="s">
        <v>1000</v>
      </c>
      <c r="C6" s="1541"/>
      <c r="D6" s="1541"/>
      <c r="E6" s="1541"/>
      <c r="F6" s="1541"/>
      <c r="G6" s="1541"/>
      <c r="H6" s="1541"/>
      <c r="I6" s="374" t="s">
        <v>1001</v>
      </c>
      <c r="J6" s="676"/>
      <c r="K6" s="676"/>
      <c r="L6" s="825"/>
    </row>
    <row r="7" spans="1:16" ht="29" x14ac:dyDescent="0.2">
      <c r="B7" s="38"/>
      <c r="C7" s="181" t="s">
        <v>1002</v>
      </c>
      <c r="D7" s="181" t="s">
        <v>1003</v>
      </c>
      <c r="E7" s="181" t="s">
        <v>1004</v>
      </c>
      <c r="F7" s="1321" t="s">
        <v>1005</v>
      </c>
      <c r="G7" s="1321"/>
      <c r="H7" s="1555"/>
      <c r="I7" s="21"/>
      <c r="J7" s="21"/>
      <c r="K7" s="21"/>
      <c r="L7" s="26"/>
    </row>
    <row r="8" spans="1:16" ht="17" x14ac:dyDescent="0.25">
      <c r="B8" s="38"/>
      <c r="C8" s="124" t="s">
        <v>1006</v>
      </c>
      <c r="D8" s="124" t="s">
        <v>1007</v>
      </c>
      <c r="E8" s="805">
        <v>1</v>
      </c>
      <c r="F8" s="1553" t="s">
        <v>1008</v>
      </c>
      <c r="G8" s="1553"/>
      <c r="H8" s="1554"/>
      <c r="I8" s="21"/>
      <c r="J8" s="21"/>
      <c r="K8" s="21"/>
      <c r="L8" s="26"/>
    </row>
    <row r="9" spans="1:16" ht="17" x14ac:dyDescent="0.25">
      <c r="B9" s="38"/>
      <c r="C9" s="124" t="s">
        <v>1009</v>
      </c>
      <c r="D9" s="124" t="s">
        <v>1010</v>
      </c>
      <c r="E9" s="805">
        <v>27</v>
      </c>
      <c r="F9" s="1553" t="s">
        <v>1008</v>
      </c>
      <c r="G9" s="1553"/>
      <c r="H9" s="1554"/>
      <c r="I9" s="21"/>
      <c r="J9" s="21"/>
      <c r="K9" s="21"/>
      <c r="L9" s="26"/>
    </row>
    <row r="10" spans="1:16" ht="17" x14ac:dyDescent="0.25">
      <c r="B10" s="38"/>
      <c r="C10" s="124" t="s">
        <v>1011</v>
      </c>
      <c r="D10" s="124" t="s">
        <v>1012</v>
      </c>
      <c r="E10" s="805">
        <v>273</v>
      </c>
      <c r="F10" s="1553" t="s">
        <v>1008</v>
      </c>
      <c r="G10" s="1553"/>
      <c r="H10" s="1554"/>
      <c r="I10" s="21"/>
      <c r="J10" s="21"/>
      <c r="K10" s="21"/>
      <c r="L10" s="26"/>
    </row>
    <row r="11" spans="1:16" ht="17" x14ac:dyDescent="0.25">
      <c r="B11" s="38"/>
      <c r="C11" s="124" t="s">
        <v>1013</v>
      </c>
      <c r="D11" s="124" t="s">
        <v>1014</v>
      </c>
      <c r="E11" s="805">
        <v>17423</v>
      </c>
      <c r="F11" s="1553" t="s">
        <v>1008</v>
      </c>
      <c r="G11" s="1553"/>
      <c r="H11" s="1554"/>
      <c r="I11" s="21"/>
      <c r="J11" s="21"/>
      <c r="K11" s="21"/>
      <c r="L11" s="26"/>
    </row>
    <row r="12" spans="1:16" ht="17" x14ac:dyDescent="0.25">
      <c r="B12" s="38"/>
      <c r="C12" s="124" t="s">
        <v>1015</v>
      </c>
      <c r="D12" s="124" t="s">
        <v>1016</v>
      </c>
      <c r="E12" s="805">
        <v>25184</v>
      </c>
      <c r="F12" s="1553" t="s">
        <v>1008</v>
      </c>
      <c r="G12" s="1553"/>
      <c r="H12" s="1554"/>
      <c r="I12" s="21"/>
      <c r="J12" s="21"/>
      <c r="K12" s="21"/>
      <c r="L12" s="26"/>
      <c r="O12" s="178"/>
    </row>
    <row r="13" spans="1:16" x14ac:dyDescent="0.2">
      <c r="B13" s="38"/>
      <c r="C13" s="21"/>
      <c r="D13" s="21"/>
      <c r="E13" s="21"/>
      <c r="F13" s="21"/>
      <c r="G13" s="21"/>
      <c r="H13" s="21"/>
      <c r="I13" s="21"/>
      <c r="J13" s="21"/>
      <c r="K13" s="21"/>
      <c r="L13" s="26"/>
    </row>
    <row r="14" spans="1:16" ht="16" x14ac:dyDescent="0.2">
      <c r="B14" s="1551" t="s">
        <v>1017</v>
      </c>
      <c r="C14" s="1551"/>
      <c r="D14" s="1551"/>
      <c r="E14" s="1551"/>
      <c r="F14" s="1551"/>
      <c r="G14" s="1551"/>
      <c r="H14" s="1551"/>
      <c r="I14" s="1551"/>
      <c r="J14" s="1551"/>
      <c r="K14" s="1551"/>
      <c r="L14" s="1552"/>
    </row>
    <row r="15" spans="1:16" ht="30" customHeight="1" x14ac:dyDescent="0.2">
      <c r="B15" s="1188" t="s">
        <v>1018</v>
      </c>
      <c r="C15" s="1188"/>
      <c r="D15" s="1188"/>
      <c r="E15" s="1188"/>
      <c r="F15" s="1188"/>
      <c r="G15" s="1188"/>
      <c r="H15" s="1188"/>
      <c r="I15" s="1188"/>
      <c r="J15" s="1188"/>
      <c r="K15" s="1188"/>
      <c r="L15" s="1550"/>
    </row>
    <row r="16" spans="1:16" ht="35.25" customHeight="1" x14ac:dyDescent="0.2">
      <c r="B16" s="1541" t="s">
        <v>1019</v>
      </c>
      <c r="C16" s="1541"/>
      <c r="D16" s="1541"/>
      <c r="E16" s="1541"/>
      <c r="F16" s="1541"/>
      <c r="G16" s="1541"/>
      <c r="H16" s="1541"/>
      <c r="I16" s="374" t="s">
        <v>1001</v>
      </c>
      <c r="J16" s="676"/>
      <c r="K16" s="676"/>
      <c r="L16" s="825"/>
      <c r="N16" s="748"/>
      <c r="P16" s="178"/>
    </row>
    <row r="17" spans="2:12" ht="35.25" customHeight="1" x14ac:dyDescent="0.2">
      <c r="B17" s="1541" t="s">
        <v>1020</v>
      </c>
      <c r="C17" s="1541"/>
      <c r="D17" s="1541"/>
      <c r="E17" s="1541"/>
      <c r="F17" s="1541"/>
      <c r="G17" s="1541"/>
      <c r="H17" s="1541"/>
      <c r="I17" s="374" t="s">
        <v>1001</v>
      </c>
      <c r="J17" s="676"/>
      <c r="K17" s="676"/>
      <c r="L17" s="825"/>
    </row>
    <row r="18" spans="2:12" ht="71" x14ac:dyDescent="0.2">
      <c r="B18" s="38"/>
      <c r="C18" s="124" t="s">
        <v>1021</v>
      </c>
      <c r="D18" s="124" t="s">
        <v>1022</v>
      </c>
      <c r="E18" s="124" t="s">
        <v>403</v>
      </c>
      <c r="F18" s="181" t="s">
        <v>1023</v>
      </c>
      <c r="G18" s="181" t="s">
        <v>1024</v>
      </c>
      <c r="H18" s="181" t="s">
        <v>1025</v>
      </c>
      <c r="I18" s="181" t="s">
        <v>1026</v>
      </c>
      <c r="J18" s="201" t="s">
        <v>1027</v>
      </c>
      <c r="K18" s="616" t="s">
        <v>1028</v>
      </c>
      <c r="L18" s="616" t="s">
        <v>1029</v>
      </c>
    </row>
    <row r="19" spans="2:12" x14ac:dyDescent="0.2">
      <c r="B19" s="38"/>
      <c r="C19" s="1558" t="s">
        <v>1030</v>
      </c>
      <c r="D19" s="1559" t="s">
        <v>344</v>
      </c>
      <c r="E19" s="124" t="s">
        <v>1031</v>
      </c>
      <c r="F19" s="805">
        <v>80700</v>
      </c>
      <c r="G19" s="805">
        <v>3</v>
      </c>
      <c r="H19" s="806">
        <v>0.6</v>
      </c>
      <c r="I19" s="376">
        <f t="shared" ref="I19:I35" si="0">F19+G19*CH4_GWP+H19*N2O_GWP</f>
        <v>80944.800000000003</v>
      </c>
      <c r="J19" s="821">
        <f>I19*0.002326</f>
        <v>188.27760480000001</v>
      </c>
      <c r="K19" s="822" t="s">
        <v>1032</v>
      </c>
      <c r="L19" s="823" t="s">
        <v>1033</v>
      </c>
    </row>
    <row r="20" spans="2:12" x14ac:dyDescent="0.2">
      <c r="B20" s="38"/>
      <c r="C20" s="1558"/>
      <c r="D20" s="1559"/>
      <c r="E20" s="124" t="s">
        <v>1034</v>
      </c>
      <c r="F20" s="805">
        <v>74100</v>
      </c>
      <c r="G20" s="805">
        <v>3</v>
      </c>
      <c r="H20" s="806">
        <v>0.6</v>
      </c>
      <c r="I20" s="376">
        <f>F20+G20*CH4_GWP+H20*N2O_GWP</f>
        <v>74344.800000000003</v>
      </c>
      <c r="J20" s="821">
        <f t="shared" ref="J20:J35" si="1">I20*0.002326</f>
        <v>172.92600480000002</v>
      </c>
      <c r="K20" s="822" t="s">
        <v>1032</v>
      </c>
      <c r="L20" s="824" t="s">
        <v>1033</v>
      </c>
    </row>
    <row r="21" spans="2:12" x14ac:dyDescent="0.2">
      <c r="B21" s="38"/>
      <c r="C21" s="1558"/>
      <c r="D21" s="1559"/>
      <c r="E21" s="124" t="s">
        <v>355</v>
      </c>
      <c r="F21" s="805">
        <v>63100</v>
      </c>
      <c r="G21" s="805">
        <v>1</v>
      </c>
      <c r="H21" s="806">
        <v>0.1</v>
      </c>
      <c r="I21" s="376">
        <f t="shared" si="0"/>
        <v>63154.3</v>
      </c>
      <c r="J21" s="821">
        <f t="shared" si="1"/>
        <v>146.89690179999999</v>
      </c>
      <c r="K21" s="822" t="s">
        <v>1032</v>
      </c>
      <c r="L21" s="824" t="s">
        <v>1033</v>
      </c>
    </row>
    <row r="22" spans="2:12" x14ac:dyDescent="0.2">
      <c r="B22" s="38"/>
      <c r="C22" s="1558"/>
      <c r="D22" s="1559"/>
      <c r="E22" s="124" t="s">
        <v>1035</v>
      </c>
      <c r="F22" s="805">
        <v>71900</v>
      </c>
      <c r="G22" s="805">
        <v>3</v>
      </c>
      <c r="H22" s="806">
        <v>0.6</v>
      </c>
      <c r="I22" s="376">
        <f t="shared" si="0"/>
        <v>72144.800000000003</v>
      </c>
      <c r="J22" s="821">
        <f t="shared" si="1"/>
        <v>167.80880479999999</v>
      </c>
      <c r="K22" s="822" t="s">
        <v>1032</v>
      </c>
      <c r="L22" s="824" t="s">
        <v>1033</v>
      </c>
    </row>
    <row r="23" spans="2:12" x14ac:dyDescent="0.2">
      <c r="B23" s="38"/>
      <c r="C23" s="1558"/>
      <c r="D23" s="1559"/>
      <c r="E23" s="124" t="s">
        <v>413</v>
      </c>
      <c r="F23" s="805">
        <v>69300</v>
      </c>
      <c r="G23" s="805">
        <v>3</v>
      </c>
      <c r="H23" s="806">
        <v>0.6</v>
      </c>
      <c r="I23" s="376">
        <f t="shared" si="0"/>
        <v>69544.800000000003</v>
      </c>
      <c r="J23" s="821">
        <f t="shared" si="1"/>
        <v>161.7612048</v>
      </c>
      <c r="K23" s="822" t="s">
        <v>1032</v>
      </c>
      <c r="L23" s="824" t="s">
        <v>1033</v>
      </c>
    </row>
    <row r="24" spans="2:12" x14ac:dyDescent="0.2">
      <c r="B24" s="38"/>
      <c r="C24" s="1558"/>
      <c r="D24" s="1559"/>
      <c r="E24" s="124" t="s">
        <v>357</v>
      </c>
      <c r="F24" s="805">
        <v>97500</v>
      </c>
      <c r="G24" s="805">
        <v>3</v>
      </c>
      <c r="H24" s="806">
        <v>0.6</v>
      </c>
      <c r="I24" s="376">
        <f t="shared" si="0"/>
        <v>97744.8</v>
      </c>
      <c r="J24" s="821">
        <f t="shared" si="1"/>
        <v>227.3544048</v>
      </c>
      <c r="K24" s="822" t="s">
        <v>1032</v>
      </c>
      <c r="L24" s="824" t="s">
        <v>1033</v>
      </c>
    </row>
    <row r="25" spans="2:12" x14ac:dyDescent="0.2">
      <c r="B25" s="84"/>
      <c r="C25" s="1558"/>
      <c r="D25" s="1559"/>
      <c r="E25" s="124" t="s">
        <v>1036</v>
      </c>
      <c r="F25" s="805">
        <v>77400</v>
      </c>
      <c r="G25" s="805">
        <v>3</v>
      </c>
      <c r="H25" s="806">
        <v>0.6</v>
      </c>
      <c r="I25" s="376">
        <f t="shared" si="0"/>
        <v>77644.800000000003</v>
      </c>
      <c r="J25" s="821">
        <f t="shared" si="1"/>
        <v>180.6018048</v>
      </c>
      <c r="K25" s="822" t="s">
        <v>1032</v>
      </c>
      <c r="L25" s="824" t="s">
        <v>1033</v>
      </c>
    </row>
    <row r="26" spans="2:12" x14ac:dyDescent="0.2">
      <c r="B26" s="84"/>
      <c r="C26" s="1558"/>
      <c r="D26" s="1559"/>
      <c r="E26" s="124" t="s">
        <v>1037</v>
      </c>
      <c r="F26" s="805">
        <v>73300</v>
      </c>
      <c r="G26" s="805">
        <v>3</v>
      </c>
      <c r="H26" s="806">
        <v>0.6</v>
      </c>
      <c r="I26" s="376">
        <f t="shared" si="0"/>
        <v>73544.800000000003</v>
      </c>
      <c r="J26" s="821">
        <f t="shared" si="1"/>
        <v>171.0652048</v>
      </c>
      <c r="K26" s="822" t="s">
        <v>1032</v>
      </c>
      <c r="L26" s="824" t="s">
        <v>1033</v>
      </c>
    </row>
    <row r="27" spans="2:12" x14ac:dyDescent="0.2">
      <c r="B27" s="84"/>
      <c r="C27" s="1558"/>
      <c r="D27" s="1559" t="s">
        <v>346</v>
      </c>
      <c r="E27" s="124" t="s">
        <v>1038</v>
      </c>
      <c r="F27" s="805">
        <v>107000</v>
      </c>
      <c r="G27" s="805">
        <v>10</v>
      </c>
      <c r="H27" s="806">
        <v>1.5</v>
      </c>
      <c r="I27" s="376">
        <f t="shared" si="0"/>
        <v>107679.5</v>
      </c>
      <c r="J27" s="821">
        <f t="shared" si="1"/>
        <v>250.46251699999999</v>
      </c>
      <c r="K27" s="822" t="s">
        <v>1032</v>
      </c>
      <c r="L27" s="824" t="s">
        <v>1033</v>
      </c>
    </row>
    <row r="28" spans="2:12" x14ac:dyDescent="0.2">
      <c r="B28" s="84"/>
      <c r="C28" s="1558"/>
      <c r="D28" s="1559"/>
      <c r="E28" s="124" t="s">
        <v>1039</v>
      </c>
      <c r="F28" s="805">
        <v>94600</v>
      </c>
      <c r="G28" s="805">
        <v>3</v>
      </c>
      <c r="H28" s="806">
        <v>1.5</v>
      </c>
      <c r="I28" s="376">
        <f t="shared" si="0"/>
        <v>95090.5</v>
      </c>
      <c r="J28" s="821">
        <f t="shared" si="1"/>
        <v>221.18050299999999</v>
      </c>
      <c r="K28" s="822" t="s">
        <v>1032</v>
      </c>
      <c r="L28" s="824" t="s">
        <v>1033</v>
      </c>
    </row>
    <row r="29" spans="2:12" x14ac:dyDescent="0.2">
      <c r="B29" s="84"/>
      <c r="C29" s="1558"/>
      <c r="D29" s="1559"/>
      <c r="E29" s="124" t="s">
        <v>347</v>
      </c>
      <c r="F29" s="805">
        <v>98300</v>
      </c>
      <c r="G29" s="805">
        <v>3</v>
      </c>
      <c r="H29" s="806">
        <v>1.5</v>
      </c>
      <c r="I29" s="376">
        <f t="shared" si="0"/>
        <v>98790.5</v>
      </c>
      <c r="J29" s="821">
        <f t="shared" si="1"/>
        <v>229.78670299999999</v>
      </c>
      <c r="K29" s="822" t="s">
        <v>1032</v>
      </c>
      <c r="L29" s="824" t="s">
        <v>1033</v>
      </c>
    </row>
    <row r="30" spans="2:12" x14ac:dyDescent="0.2">
      <c r="B30" s="84"/>
      <c r="C30" s="1558"/>
      <c r="D30" s="1559"/>
      <c r="E30" s="124" t="s">
        <v>1040</v>
      </c>
      <c r="F30" s="805">
        <v>101000</v>
      </c>
      <c r="G30" s="805">
        <v>3</v>
      </c>
      <c r="H30" s="806">
        <v>1.5</v>
      </c>
      <c r="I30" s="376">
        <f t="shared" si="0"/>
        <v>101490.5</v>
      </c>
      <c r="J30" s="821">
        <f t="shared" si="1"/>
        <v>236.066903</v>
      </c>
      <c r="K30" s="822" t="s">
        <v>1032</v>
      </c>
      <c r="L30" s="824" t="s">
        <v>1033</v>
      </c>
    </row>
    <row r="31" spans="2:12" x14ac:dyDescent="0.2">
      <c r="B31" s="84"/>
      <c r="C31" s="1558"/>
      <c r="D31" s="126" t="s">
        <v>348</v>
      </c>
      <c r="E31" s="124" t="s">
        <v>348</v>
      </c>
      <c r="F31" s="805">
        <v>56100</v>
      </c>
      <c r="G31" s="805">
        <v>1</v>
      </c>
      <c r="H31" s="806">
        <v>0.1</v>
      </c>
      <c r="I31" s="376">
        <f t="shared" si="0"/>
        <v>56154.3</v>
      </c>
      <c r="J31" s="821">
        <f t="shared" si="1"/>
        <v>130.61490180000001</v>
      </c>
      <c r="K31" s="822" t="s">
        <v>1032</v>
      </c>
      <c r="L31" s="824" t="s">
        <v>1033</v>
      </c>
    </row>
    <row r="32" spans="2:12" x14ac:dyDescent="0.2">
      <c r="B32" s="84"/>
      <c r="C32" s="1558"/>
      <c r="D32" s="1558" t="s">
        <v>423</v>
      </c>
      <c r="E32" s="124" t="s">
        <v>1041</v>
      </c>
      <c r="F32" s="805">
        <v>100000</v>
      </c>
      <c r="G32" s="805">
        <v>30</v>
      </c>
      <c r="H32" s="806">
        <v>4</v>
      </c>
      <c r="I32" s="376">
        <f t="shared" si="0"/>
        <v>101902</v>
      </c>
      <c r="J32" s="821">
        <f t="shared" si="1"/>
        <v>237.02405199999998</v>
      </c>
      <c r="K32" s="822" t="s">
        <v>1032</v>
      </c>
      <c r="L32" s="824" t="s">
        <v>1033</v>
      </c>
    </row>
    <row r="33" spans="2:15" x14ac:dyDescent="0.2">
      <c r="B33" s="84"/>
      <c r="C33" s="1558"/>
      <c r="D33" s="1558"/>
      <c r="E33" s="124" t="s">
        <v>1042</v>
      </c>
      <c r="F33" s="805">
        <v>143000</v>
      </c>
      <c r="G33" s="805">
        <v>30</v>
      </c>
      <c r="H33" s="806">
        <v>4</v>
      </c>
      <c r="I33" s="376">
        <f t="shared" si="0"/>
        <v>144902</v>
      </c>
      <c r="J33" s="821">
        <f t="shared" si="1"/>
        <v>337.04205200000001</v>
      </c>
      <c r="K33" s="822" t="s">
        <v>1032</v>
      </c>
      <c r="L33" s="824" t="s">
        <v>1033</v>
      </c>
    </row>
    <row r="34" spans="2:15" x14ac:dyDescent="0.2">
      <c r="B34" s="84"/>
      <c r="C34" s="1558"/>
      <c r="D34" s="1558"/>
      <c r="E34" s="124" t="s">
        <v>1043</v>
      </c>
      <c r="F34" s="805">
        <v>112000</v>
      </c>
      <c r="G34" s="805">
        <v>30</v>
      </c>
      <c r="H34" s="806">
        <v>4</v>
      </c>
      <c r="I34" s="376">
        <f t="shared" si="0"/>
        <v>113902</v>
      </c>
      <c r="J34" s="821">
        <f t="shared" si="1"/>
        <v>264.93605200000002</v>
      </c>
      <c r="K34" s="822" t="s">
        <v>1032</v>
      </c>
      <c r="L34" s="824" t="s">
        <v>1033</v>
      </c>
    </row>
    <row r="35" spans="2:15" x14ac:dyDescent="0.2">
      <c r="B35" s="84"/>
      <c r="C35" s="1558"/>
      <c r="D35" s="1558"/>
      <c r="E35" s="124" t="s">
        <v>1044</v>
      </c>
      <c r="F35" s="805">
        <v>70800</v>
      </c>
      <c r="G35" s="805">
        <v>3</v>
      </c>
      <c r="H35" s="806">
        <v>0.6</v>
      </c>
      <c r="I35" s="376">
        <f t="shared" si="0"/>
        <v>71044.800000000003</v>
      </c>
      <c r="J35" s="821">
        <f t="shared" si="1"/>
        <v>165.25020480000001</v>
      </c>
      <c r="K35" s="822" t="s">
        <v>1032</v>
      </c>
      <c r="L35" s="824" t="s">
        <v>1033</v>
      </c>
    </row>
    <row r="36" spans="2:15" x14ac:dyDescent="0.2">
      <c r="B36" s="84"/>
      <c r="C36" s="1558"/>
      <c r="D36" s="660" t="s">
        <v>351</v>
      </c>
      <c r="E36" s="1073" t="s">
        <v>352</v>
      </c>
      <c r="F36" s="1074">
        <f>66.33/0.001055</f>
        <v>62872.037914691944</v>
      </c>
      <c r="G36" s="1074">
        <f>1.25*0.001/0.001055</f>
        <v>1.1848341232227488</v>
      </c>
      <c r="H36" s="1075">
        <f>0.125*0.001/0.001055</f>
        <v>0.11848341232227488</v>
      </c>
      <c r="I36" s="1076">
        <f t="shared" ref="I36" si="2">F36+G36*CH4_GWP+H36*N2O_GWP</f>
        <v>62936.374407582945</v>
      </c>
      <c r="J36" s="1077">
        <f>I36*0.002326</f>
        <v>146.39000687203793</v>
      </c>
      <c r="K36" s="822" t="s">
        <v>1032</v>
      </c>
      <c r="L36" s="824" t="s">
        <v>1033</v>
      </c>
    </row>
    <row r="37" spans="2:15" ht="15" customHeight="1" x14ac:dyDescent="0.2">
      <c r="B37" s="84"/>
      <c r="C37" s="1539" t="s">
        <v>1045</v>
      </c>
      <c r="D37" s="1539"/>
      <c r="E37" s="1540"/>
      <c r="F37" s="1540"/>
      <c r="G37" s="1540"/>
      <c r="H37" s="1540"/>
      <c r="I37" s="1540"/>
      <c r="J37" s="170"/>
      <c r="K37" s="170"/>
      <c r="L37" s="827"/>
    </row>
    <row r="38" spans="2:15" x14ac:dyDescent="0.2">
      <c r="B38" s="84"/>
      <c r="C38" s="378"/>
      <c r="D38" s="378"/>
      <c r="E38" s="21"/>
      <c r="F38" s="170"/>
      <c r="G38" s="170"/>
      <c r="H38" s="377"/>
      <c r="I38" s="170"/>
      <c r="J38" s="170"/>
      <c r="K38" s="170"/>
      <c r="L38" s="827"/>
    </row>
    <row r="39" spans="2:15" ht="16" x14ac:dyDescent="0.2">
      <c r="B39" s="1551" t="s">
        <v>1046</v>
      </c>
      <c r="C39" s="1551"/>
      <c r="D39" s="1551"/>
      <c r="E39" s="1551"/>
      <c r="F39" s="1551"/>
      <c r="G39" s="1551"/>
      <c r="H39" s="1551"/>
      <c r="I39" s="1551"/>
      <c r="J39" s="1551"/>
      <c r="K39" s="1551"/>
      <c r="L39" s="1552"/>
    </row>
    <row r="40" spans="2:15" ht="33" customHeight="1" x14ac:dyDescent="0.2">
      <c r="B40" s="1188" t="s">
        <v>1047</v>
      </c>
      <c r="C40" s="1188"/>
      <c r="D40" s="1188"/>
      <c r="E40" s="1188"/>
      <c r="F40" s="1188"/>
      <c r="G40" s="1188"/>
      <c r="H40" s="1188"/>
      <c r="I40" s="1188"/>
      <c r="J40" s="1188"/>
      <c r="K40" s="1188"/>
      <c r="L40" s="1550"/>
    </row>
    <row r="41" spans="2:15" ht="35.25" customHeight="1" x14ac:dyDescent="0.2">
      <c r="B41" s="1541" t="s">
        <v>1048</v>
      </c>
      <c r="C41" s="1541"/>
      <c r="D41" s="1541"/>
      <c r="E41" s="1541"/>
      <c r="F41" s="1541"/>
      <c r="G41" s="1541"/>
      <c r="H41" s="1541"/>
      <c r="I41" s="374" t="s">
        <v>1001</v>
      </c>
      <c r="J41" s="676"/>
      <c r="K41" s="676"/>
      <c r="L41" s="825"/>
    </row>
    <row r="42" spans="2:15" ht="71" x14ac:dyDescent="0.2">
      <c r="B42" s="38"/>
      <c r="C42" s="124" t="s">
        <v>1021</v>
      </c>
      <c r="D42" s="124" t="s">
        <v>1049</v>
      </c>
      <c r="E42" s="124" t="s">
        <v>1050</v>
      </c>
      <c r="F42" s="181" t="s">
        <v>1023</v>
      </c>
      <c r="G42" s="181" t="s">
        <v>1024</v>
      </c>
      <c r="H42" s="181" t="s">
        <v>1025</v>
      </c>
      <c r="I42" s="181" t="s">
        <v>1026</v>
      </c>
      <c r="J42" s="201" t="s">
        <v>1051</v>
      </c>
      <c r="K42" s="964" t="s">
        <v>1028</v>
      </c>
      <c r="L42" s="616" t="s">
        <v>1029</v>
      </c>
      <c r="N42" s="748"/>
    </row>
    <row r="43" spans="2:15" ht="29.75" customHeight="1" x14ac:dyDescent="0.2">
      <c r="B43" s="38"/>
      <c r="C43" s="1563" t="s">
        <v>113</v>
      </c>
      <c r="D43" s="1563" t="s">
        <v>1052</v>
      </c>
      <c r="E43" s="193" t="s">
        <v>413</v>
      </c>
      <c r="F43" s="1078">
        <v>69300</v>
      </c>
      <c r="G43" s="1079">
        <v>33</v>
      </c>
      <c r="H43" s="1079">
        <v>3.2</v>
      </c>
      <c r="I43" s="1080">
        <f t="shared" ref="I43:I48" si="3">F43+G43*CH4_GWP+H43*N2O_GWP</f>
        <v>71064.600000000006</v>
      </c>
      <c r="J43" s="1081">
        <f>I43*0.002326</f>
        <v>165.29625960000001</v>
      </c>
      <c r="K43" s="1082" t="s">
        <v>1053</v>
      </c>
      <c r="L43" s="1083" t="s">
        <v>1033</v>
      </c>
      <c r="N43" s="807"/>
      <c r="O43" s="178"/>
    </row>
    <row r="44" spans="2:15" x14ac:dyDescent="0.2">
      <c r="B44" s="38"/>
      <c r="C44" s="1558"/>
      <c r="D44" s="1558"/>
      <c r="E44" s="124" t="s">
        <v>1034</v>
      </c>
      <c r="F44" s="805">
        <v>74100</v>
      </c>
      <c r="G44" s="806">
        <v>3.9</v>
      </c>
      <c r="H44" s="806">
        <v>1.3</v>
      </c>
      <c r="I44" s="376">
        <f t="shared" si="3"/>
        <v>74560.2</v>
      </c>
      <c r="J44" s="821">
        <f t="shared" ref="J44:J48" si="4">I44*0.002326</f>
        <v>173.4270252</v>
      </c>
      <c r="K44" s="832" t="s">
        <v>1053</v>
      </c>
      <c r="L44" s="824" t="s">
        <v>1033</v>
      </c>
    </row>
    <row r="45" spans="2:15" x14ac:dyDescent="0.2">
      <c r="B45" s="38"/>
      <c r="C45" s="1558"/>
      <c r="D45" s="1558"/>
      <c r="E45" s="124" t="s">
        <v>1054</v>
      </c>
      <c r="F45" s="805">
        <v>63100</v>
      </c>
      <c r="G45" s="806">
        <v>62</v>
      </c>
      <c r="H45" s="806">
        <v>0.2</v>
      </c>
      <c r="I45" s="376">
        <f t="shared" si="3"/>
        <v>64828.6</v>
      </c>
      <c r="J45" s="821">
        <f t="shared" si="4"/>
        <v>150.7913236</v>
      </c>
      <c r="K45" s="832" t="s">
        <v>1053</v>
      </c>
      <c r="L45" s="824" t="s">
        <v>1033</v>
      </c>
    </row>
    <row r="46" spans="2:15" x14ac:dyDescent="0.2">
      <c r="B46" s="84"/>
      <c r="C46" s="1558"/>
      <c r="D46" s="1558"/>
      <c r="E46" s="124" t="s">
        <v>1055</v>
      </c>
      <c r="F46" s="805">
        <v>56100</v>
      </c>
      <c r="G46" s="806">
        <v>92</v>
      </c>
      <c r="H46" s="806">
        <v>3</v>
      </c>
      <c r="I46" s="376">
        <f t="shared" si="3"/>
        <v>59403</v>
      </c>
      <c r="J46" s="821">
        <f t="shared" si="4"/>
        <v>138.171378</v>
      </c>
      <c r="K46" s="832" t="s">
        <v>1053</v>
      </c>
      <c r="L46" s="824" t="s">
        <v>1033</v>
      </c>
    </row>
    <row r="47" spans="2:15" ht="15" customHeight="1" x14ac:dyDescent="0.2">
      <c r="B47" s="84"/>
      <c r="C47" s="1558"/>
      <c r="D47" s="1564" t="s">
        <v>1056</v>
      </c>
      <c r="E47" s="124" t="s">
        <v>1057</v>
      </c>
      <c r="F47" s="805">
        <v>70000</v>
      </c>
      <c r="G47" s="806">
        <v>0.5</v>
      </c>
      <c r="H47" s="806">
        <v>2</v>
      </c>
      <c r="I47" s="562">
        <f t="shared" si="3"/>
        <v>70559.5</v>
      </c>
      <c r="J47" s="826">
        <f t="shared" si="4"/>
        <v>164.121397</v>
      </c>
      <c r="K47" s="832" t="s">
        <v>1053</v>
      </c>
      <c r="L47" s="824" t="s">
        <v>1033</v>
      </c>
    </row>
    <row r="48" spans="2:15" x14ac:dyDescent="0.2">
      <c r="B48" s="84"/>
      <c r="C48" s="1558"/>
      <c r="D48" s="1564"/>
      <c r="E48" s="124" t="s">
        <v>1058</v>
      </c>
      <c r="F48" s="805">
        <v>71500</v>
      </c>
      <c r="G48" s="806">
        <v>0.5</v>
      </c>
      <c r="H48" s="806">
        <v>2</v>
      </c>
      <c r="I48" s="562">
        <f t="shared" si="3"/>
        <v>72059.5</v>
      </c>
      <c r="J48" s="826">
        <f t="shared" si="4"/>
        <v>167.61039700000001</v>
      </c>
      <c r="K48" s="832" t="s">
        <v>1053</v>
      </c>
      <c r="L48" s="824" t="s">
        <v>1033</v>
      </c>
    </row>
    <row r="49" spans="2:12" ht="31.5" customHeight="1" x14ac:dyDescent="0.2">
      <c r="B49" s="84"/>
      <c r="C49" s="1410" t="s">
        <v>1059</v>
      </c>
      <c r="D49" s="1410"/>
      <c r="E49" s="1410"/>
      <c r="F49" s="1410"/>
      <c r="G49" s="1410"/>
      <c r="H49" s="1410"/>
      <c r="I49" s="1410"/>
      <c r="J49" s="672"/>
      <c r="K49" s="672"/>
      <c r="L49" s="613"/>
    </row>
    <row r="50" spans="2:12" ht="15" customHeight="1" x14ac:dyDescent="0.2">
      <c r="B50" s="84"/>
      <c r="C50" s="1540" t="s">
        <v>1060</v>
      </c>
      <c r="D50" s="1540"/>
      <c r="E50" s="1540"/>
      <c r="F50" s="1540"/>
      <c r="G50" s="1540"/>
      <c r="H50" s="1540"/>
      <c r="I50" s="1540"/>
      <c r="J50" s="672"/>
      <c r="K50" s="672"/>
      <c r="L50" s="613"/>
    </row>
    <row r="51" spans="2:12" x14ac:dyDescent="0.2">
      <c r="B51" s="84"/>
      <c r="C51" s="672"/>
      <c r="D51" s="672"/>
      <c r="E51" s="672"/>
      <c r="F51" s="672"/>
      <c r="G51" s="672"/>
      <c r="H51" s="672"/>
      <c r="I51" s="672"/>
      <c r="J51" s="672"/>
      <c r="K51" s="672"/>
      <c r="L51" s="613"/>
    </row>
    <row r="52" spans="2:12" ht="16" x14ac:dyDescent="0.2">
      <c r="B52" s="1551" t="s">
        <v>1061</v>
      </c>
      <c r="C52" s="1551"/>
      <c r="D52" s="1551"/>
      <c r="E52" s="1551"/>
      <c r="F52" s="1551"/>
      <c r="G52" s="1551"/>
      <c r="H52" s="1551"/>
      <c r="I52" s="1551"/>
      <c r="J52" s="1551"/>
      <c r="K52" s="1551"/>
      <c r="L52" s="1552"/>
    </row>
    <row r="53" spans="2:12" ht="32.25" customHeight="1" x14ac:dyDescent="0.2">
      <c r="B53" s="1188" t="s">
        <v>1062</v>
      </c>
      <c r="C53" s="1188"/>
      <c r="D53" s="1188"/>
      <c r="E53" s="1188"/>
      <c r="F53" s="1188"/>
      <c r="G53" s="1188"/>
      <c r="H53" s="1188"/>
      <c r="I53" s="1188"/>
      <c r="J53" s="1188"/>
      <c r="K53" s="1188"/>
      <c r="L53" s="1550"/>
    </row>
    <row r="54" spans="2:12" ht="38.25" customHeight="1" x14ac:dyDescent="0.2">
      <c r="B54" s="1561" t="s">
        <v>1063</v>
      </c>
      <c r="C54" s="1561"/>
      <c r="D54" s="1561"/>
      <c r="E54" s="1561"/>
      <c r="F54" s="1561"/>
      <c r="G54" s="1561"/>
      <c r="H54" s="1561"/>
      <c r="I54" s="374" t="s">
        <v>1001</v>
      </c>
      <c r="J54" s="676" t="s">
        <v>1064</v>
      </c>
      <c r="K54" s="676"/>
      <c r="L54" s="825"/>
    </row>
    <row r="55" spans="2:12" ht="43" x14ac:dyDescent="0.2">
      <c r="B55" s="675"/>
      <c r="C55" s="1383" t="s">
        <v>620</v>
      </c>
      <c r="D55" s="1383"/>
      <c r="E55" s="1383"/>
      <c r="F55" s="181" t="s">
        <v>1065</v>
      </c>
      <c r="G55" s="181" t="s">
        <v>1066</v>
      </c>
      <c r="H55" s="1542" t="s">
        <v>1005</v>
      </c>
      <c r="I55" s="1543"/>
      <c r="J55" s="1544"/>
      <c r="K55" s="647"/>
      <c r="L55" s="666"/>
    </row>
    <row r="56" spans="2:12" ht="15" customHeight="1" x14ac:dyDescent="0.2">
      <c r="B56" s="675"/>
      <c r="C56" s="1548" t="s">
        <v>624</v>
      </c>
      <c r="D56" s="1549" t="s">
        <v>625</v>
      </c>
      <c r="E56" s="124" t="s">
        <v>1067</v>
      </c>
      <c r="F56" s="805">
        <v>820</v>
      </c>
      <c r="G56" s="421">
        <f>F56*0.002205</f>
        <v>1.8081</v>
      </c>
      <c r="H56" s="828" t="s">
        <v>1068</v>
      </c>
      <c r="I56" s="829"/>
      <c r="J56" s="830"/>
      <c r="K56" s="676"/>
      <c r="L56" s="825"/>
    </row>
    <row r="57" spans="2:12" x14ac:dyDescent="0.2">
      <c r="B57" s="675"/>
      <c r="C57" s="1548"/>
      <c r="D57" s="1549"/>
      <c r="E57" s="124" t="s">
        <v>1069</v>
      </c>
      <c r="F57" s="805">
        <v>490</v>
      </c>
      <c r="G57" s="421">
        <f t="shared" ref="G57:G63" si="5">F57*0.002205</f>
        <v>1.0804499999999999</v>
      </c>
      <c r="H57" s="828" t="s">
        <v>1068</v>
      </c>
      <c r="I57" s="829"/>
      <c r="J57" s="830"/>
      <c r="K57" s="676"/>
      <c r="L57" s="825"/>
    </row>
    <row r="58" spans="2:12" x14ac:dyDescent="0.2">
      <c r="B58" s="675"/>
      <c r="C58" s="1548"/>
      <c r="D58" s="1549" t="s">
        <v>627</v>
      </c>
      <c r="E58" s="124" t="s">
        <v>1070</v>
      </c>
      <c r="F58" s="805">
        <v>230</v>
      </c>
      <c r="G58" s="421">
        <f t="shared" si="5"/>
        <v>0.50714999999999999</v>
      </c>
      <c r="H58" s="828" t="s">
        <v>1068</v>
      </c>
      <c r="I58" s="829"/>
      <c r="J58" s="830"/>
      <c r="K58" s="676"/>
      <c r="L58" s="825"/>
    </row>
    <row r="59" spans="2:12" x14ac:dyDescent="0.2">
      <c r="B59" s="675"/>
      <c r="C59" s="1548"/>
      <c r="D59" s="1549"/>
      <c r="E59" s="124" t="s">
        <v>632</v>
      </c>
      <c r="F59" s="805">
        <v>38</v>
      </c>
      <c r="G59" s="421">
        <f t="shared" si="5"/>
        <v>8.3790000000000003E-2</v>
      </c>
      <c r="H59" s="828" t="s">
        <v>1068</v>
      </c>
      <c r="I59" s="829"/>
      <c r="J59" s="830"/>
      <c r="K59" s="676"/>
      <c r="L59" s="825"/>
    </row>
    <row r="60" spans="2:12" x14ac:dyDescent="0.2">
      <c r="B60" s="675"/>
      <c r="C60" s="1548"/>
      <c r="D60" s="1549"/>
      <c r="E60" s="124" t="s">
        <v>629</v>
      </c>
      <c r="F60" s="805">
        <v>24</v>
      </c>
      <c r="G60" s="421">
        <f t="shared" si="5"/>
        <v>5.2919999999999995E-2</v>
      </c>
      <c r="H60" s="828" t="s">
        <v>1068</v>
      </c>
      <c r="I60" s="829"/>
      <c r="J60" s="830"/>
      <c r="K60" s="676"/>
      <c r="L60" s="825"/>
    </row>
    <row r="61" spans="2:12" x14ac:dyDescent="0.2">
      <c r="B61" s="675"/>
      <c r="C61" s="1548"/>
      <c r="D61" s="1549"/>
      <c r="E61" s="124" t="s">
        <v>628</v>
      </c>
      <c r="F61" s="805">
        <v>12</v>
      </c>
      <c r="G61" s="421">
        <f t="shared" si="5"/>
        <v>2.6459999999999997E-2</v>
      </c>
      <c r="H61" s="828" t="s">
        <v>1068</v>
      </c>
      <c r="I61" s="829"/>
      <c r="J61" s="830"/>
      <c r="K61" s="676"/>
      <c r="L61" s="825"/>
    </row>
    <row r="62" spans="2:12" x14ac:dyDescent="0.2">
      <c r="B62" s="675"/>
      <c r="C62" s="1548"/>
      <c r="D62" s="1549"/>
      <c r="E62" s="124" t="s">
        <v>1071</v>
      </c>
      <c r="F62" s="805">
        <v>48</v>
      </c>
      <c r="G62" s="421">
        <f t="shared" si="5"/>
        <v>0.10583999999999999</v>
      </c>
      <c r="H62" s="828" t="s">
        <v>1068</v>
      </c>
      <c r="I62" s="829"/>
      <c r="J62" s="830"/>
      <c r="K62" s="676"/>
      <c r="L62" s="825"/>
    </row>
    <row r="63" spans="2:12" x14ac:dyDescent="0.2">
      <c r="B63" s="675"/>
      <c r="C63" s="1548"/>
      <c r="D63" s="1549"/>
      <c r="E63" s="124" t="s">
        <v>1072</v>
      </c>
      <c r="F63" s="805">
        <v>11</v>
      </c>
      <c r="G63" s="421">
        <f t="shared" si="5"/>
        <v>2.4254999999999999E-2</v>
      </c>
      <c r="H63" s="828" t="s">
        <v>1068</v>
      </c>
      <c r="I63" s="829"/>
      <c r="J63" s="830"/>
      <c r="K63" s="676"/>
      <c r="L63" s="825"/>
    </row>
    <row r="64" spans="2:12" ht="15" customHeight="1" x14ac:dyDescent="0.2">
      <c r="B64" s="84"/>
      <c r="C64" s="974"/>
      <c r="D64" s="974"/>
      <c r="E64" s="974"/>
      <c r="F64" s="974"/>
      <c r="G64" s="974"/>
      <c r="H64" s="974"/>
      <c r="I64" s="974"/>
      <c r="J64" s="45"/>
      <c r="K64" s="45"/>
      <c r="L64" s="12"/>
    </row>
    <row r="65" spans="2:14" ht="42.75" customHeight="1" x14ac:dyDescent="0.2">
      <c r="B65" s="1547" t="s">
        <v>1073</v>
      </c>
      <c r="C65" s="1547"/>
      <c r="D65" s="1547"/>
      <c r="E65" s="1547"/>
      <c r="F65" s="1547"/>
      <c r="G65" s="1547"/>
      <c r="H65" s="1547"/>
      <c r="I65" s="1547"/>
      <c r="J65" s="1547"/>
      <c r="K65" s="974"/>
      <c r="L65" s="831"/>
    </row>
    <row r="66" spans="2:14" ht="24.75" customHeight="1" x14ac:dyDescent="0.2">
      <c r="B66" s="1541" t="s">
        <v>1074</v>
      </c>
      <c r="C66" s="1541"/>
      <c r="D66" s="1541"/>
      <c r="E66" s="1541"/>
      <c r="F66" s="1541"/>
      <c r="G66" s="1541"/>
      <c r="H66" s="1541"/>
      <c r="I66" s="374" t="s">
        <v>1001</v>
      </c>
      <c r="J66" s="24"/>
      <c r="K66" s="24"/>
      <c r="L66" s="25"/>
    </row>
    <row r="67" spans="2:14" ht="71" x14ac:dyDescent="0.2">
      <c r="B67" s="675"/>
      <c r="C67" s="1383" t="s">
        <v>620</v>
      </c>
      <c r="D67" s="1383"/>
      <c r="E67" s="1383"/>
      <c r="F67" s="417" t="s">
        <v>1075</v>
      </c>
      <c r="G67" s="417" t="s">
        <v>621</v>
      </c>
      <c r="H67" s="201" t="s">
        <v>1076</v>
      </c>
      <c r="I67" s="1545" t="s">
        <v>1028</v>
      </c>
      <c r="J67" s="1546"/>
      <c r="K67" s="24"/>
      <c r="L67" s="25"/>
    </row>
    <row r="68" spans="2:14" ht="15" customHeight="1" x14ac:dyDescent="0.2">
      <c r="B68" s="675"/>
      <c r="C68" s="1558" t="s">
        <v>624</v>
      </c>
      <c r="D68" s="1559" t="s">
        <v>625</v>
      </c>
      <c r="E68" s="124" t="s">
        <v>346</v>
      </c>
      <c r="F68" s="808">
        <v>898678.52500000002</v>
      </c>
      <c r="G68" s="420">
        <f t="shared" ref="G68:G78" si="6">F68/$F$79</f>
        <v>0.2187093409966154</v>
      </c>
      <c r="H68" s="838">
        <f>J87</f>
        <v>221.05489900000001</v>
      </c>
      <c r="I68" s="1537" t="s">
        <v>1077</v>
      </c>
      <c r="J68" s="1538"/>
      <c r="K68" s="24"/>
      <c r="L68" s="25"/>
    </row>
    <row r="69" spans="2:14" x14ac:dyDescent="0.2">
      <c r="B69" s="675"/>
      <c r="C69" s="1558"/>
      <c r="D69" s="1559"/>
      <c r="E69" s="124" t="s">
        <v>344</v>
      </c>
      <c r="F69" s="808">
        <v>18781.781999999999</v>
      </c>
      <c r="G69" s="420">
        <f t="shared" si="6"/>
        <v>4.570879407585814E-3</v>
      </c>
      <c r="H69" s="838">
        <f t="shared" ref="H69:H78" si="7">J88</f>
        <v>161.7612048</v>
      </c>
      <c r="I69" s="1537" t="s">
        <v>1077</v>
      </c>
      <c r="J69" s="1538"/>
      <c r="K69" s="24"/>
      <c r="L69" s="25"/>
    </row>
    <row r="70" spans="2:14" x14ac:dyDescent="0.2">
      <c r="B70" s="675"/>
      <c r="C70" s="1558"/>
      <c r="D70" s="1559"/>
      <c r="E70" s="124" t="s">
        <v>348</v>
      </c>
      <c r="F70" s="808">
        <v>1575229.808</v>
      </c>
      <c r="G70" s="420">
        <f t="shared" si="6"/>
        <v>0.38336008221171747</v>
      </c>
      <c r="H70" s="838">
        <f t="shared" si="7"/>
        <v>130.61490180000001</v>
      </c>
      <c r="I70" s="1537" t="s">
        <v>1077</v>
      </c>
      <c r="J70" s="1538"/>
      <c r="K70" s="24"/>
      <c r="L70" s="25"/>
    </row>
    <row r="71" spans="2:14" x14ac:dyDescent="0.2">
      <c r="B71" s="675"/>
      <c r="C71" s="1558"/>
      <c r="D71" s="1559"/>
      <c r="E71" s="124" t="s">
        <v>626</v>
      </c>
      <c r="F71" s="808">
        <v>11283.102999999999</v>
      </c>
      <c r="G71" s="420">
        <f t="shared" si="6"/>
        <v>2.7459430184191102E-3</v>
      </c>
      <c r="H71" s="838">
        <f t="shared" si="7"/>
        <v>103.40070180000001</v>
      </c>
      <c r="I71" s="1537" t="s">
        <v>1077</v>
      </c>
      <c r="J71" s="1538"/>
      <c r="K71" s="24"/>
      <c r="L71" s="25"/>
    </row>
    <row r="72" spans="2:14" x14ac:dyDescent="0.2">
      <c r="B72" s="675"/>
      <c r="C72" s="1558"/>
      <c r="D72" s="1559" t="s">
        <v>627</v>
      </c>
      <c r="E72" s="124" t="s">
        <v>628</v>
      </c>
      <c r="F72" s="808">
        <v>778151.5</v>
      </c>
      <c r="G72" s="420">
        <f t="shared" si="6"/>
        <v>0.18937695407879895</v>
      </c>
      <c r="H72" s="838">
        <f t="shared" si="7"/>
        <v>7.7539536</v>
      </c>
      <c r="I72" s="1537" t="s">
        <v>1077</v>
      </c>
      <c r="J72" s="1538"/>
      <c r="K72" s="24"/>
      <c r="L72" s="25"/>
    </row>
    <row r="73" spans="2:14" x14ac:dyDescent="0.2">
      <c r="B73" s="675"/>
      <c r="C73" s="1558"/>
      <c r="D73" s="1559"/>
      <c r="E73" s="124" t="s">
        <v>629</v>
      </c>
      <c r="F73" s="808">
        <v>260224.88500000001</v>
      </c>
      <c r="G73" s="420">
        <f t="shared" si="6"/>
        <v>6.333033618364256E-2</v>
      </c>
      <c r="H73" s="838">
        <f t="shared" si="7"/>
        <v>15.5079072</v>
      </c>
      <c r="I73" s="1537" t="s">
        <v>1077</v>
      </c>
      <c r="J73" s="1538"/>
      <c r="K73" s="24"/>
      <c r="L73" s="25"/>
    </row>
    <row r="74" spans="2:14" x14ac:dyDescent="0.2">
      <c r="B74" s="675"/>
      <c r="C74" s="1558"/>
      <c r="D74" s="1559"/>
      <c r="E74" s="124" t="s">
        <v>630</v>
      </c>
      <c r="F74" s="808">
        <v>37170.453000000001</v>
      </c>
      <c r="G74" s="420">
        <f t="shared" si="6"/>
        <v>9.0460882885519782E-3</v>
      </c>
      <c r="H74" s="838">
        <f t="shared" si="7"/>
        <v>148.61744400000001</v>
      </c>
      <c r="I74" s="1537" t="s">
        <v>1077</v>
      </c>
      <c r="J74" s="1538"/>
      <c r="K74" s="24"/>
      <c r="L74" s="25"/>
      <c r="M74" s="681"/>
    </row>
    <row r="75" spans="2:14" x14ac:dyDescent="0.2">
      <c r="B75" s="675"/>
      <c r="C75" s="1558"/>
      <c r="D75" s="1559"/>
      <c r="E75" s="124" t="s">
        <v>631</v>
      </c>
      <c r="F75" s="808">
        <v>18805</v>
      </c>
      <c r="G75" s="420">
        <f t="shared" si="6"/>
        <v>4.5765299192404227E-3</v>
      </c>
      <c r="H75" s="838">
        <f t="shared" si="7"/>
        <v>148.61744400000001</v>
      </c>
      <c r="I75" s="1537" t="s">
        <v>1077</v>
      </c>
      <c r="J75" s="1538"/>
      <c r="K75" s="24"/>
      <c r="L75" s="25"/>
      <c r="M75" s="681"/>
    </row>
    <row r="76" spans="2:14" x14ac:dyDescent="0.2">
      <c r="B76" s="675"/>
      <c r="C76" s="1558"/>
      <c r="D76" s="1559"/>
      <c r="E76" s="124" t="s">
        <v>632</v>
      </c>
      <c r="F76" s="808">
        <v>16237.884</v>
      </c>
      <c r="G76" s="420">
        <f t="shared" si="6"/>
        <v>3.9517767589021726E-3</v>
      </c>
      <c r="H76" s="838">
        <f t="shared" si="7"/>
        <v>24.554186399999999</v>
      </c>
      <c r="I76" s="1537" t="s">
        <v>1077</v>
      </c>
      <c r="J76" s="1538"/>
      <c r="K76" s="24"/>
      <c r="L76" s="25"/>
      <c r="M76" s="681"/>
    </row>
    <row r="77" spans="2:14" x14ac:dyDescent="0.2">
      <c r="B77" s="84"/>
      <c r="C77" s="1558"/>
      <c r="D77" s="1559"/>
      <c r="E77" s="124" t="s">
        <v>417</v>
      </c>
      <c r="F77" s="808">
        <v>114678.239</v>
      </c>
      <c r="G77" s="420">
        <f t="shared" si="6"/>
        <v>2.7908981221446635E-2</v>
      </c>
      <c r="H77" s="838">
        <f t="shared" si="7"/>
        <v>31.0158144</v>
      </c>
      <c r="I77" s="1537" t="s">
        <v>1077</v>
      </c>
      <c r="J77" s="1538"/>
      <c r="K77" s="24"/>
      <c r="L77" s="25"/>
      <c r="M77" s="681"/>
    </row>
    <row r="78" spans="2:14" x14ac:dyDescent="0.2">
      <c r="B78" s="84"/>
      <c r="C78" s="1558"/>
      <c r="D78" s="1559"/>
      <c r="E78" s="124" t="s">
        <v>633</v>
      </c>
      <c r="F78" s="808">
        <v>379767.24699999997</v>
      </c>
      <c r="G78" s="420">
        <f t="shared" si="6"/>
        <v>9.2423087915079374E-2</v>
      </c>
      <c r="H78" s="838">
        <f t="shared" si="7"/>
        <v>7.1077907999999992</v>
      </c>
      <c r="I78" s="1537" t="s">
        <v>1077</v>
      </c>
      <c r="J78" s="1538"/>
      <c r="K78" s="24"/>
      <c r="L78" s="25"/>
      <c r="M78" s="681"/>
    </row>
    <row r="79" spans="2:14" x14ac:dyDescent="0.2">
      <c r="B79" s="84"/>
      <c r="C79" s="1560" t="s">
        <v>371</v>
      </c>
      <c r="D79" s="1560"/>
      <c r="E79" s="1560"/>
      <c r="F79" s="424">
        <f>SUM(F68:F78)</f>
        <v>4109008.4260000004</v>
      </c>
      <c r="G79" s="423"/>
      <c r="H79" s="45"/>
      <c r="I79" s="45"/>
      <c r="J79" s="45"/>
      <c r="K79" s="45"/>
      <c r="L79" s="12"/>
    </row>
    <row r="80" spans="2:14" x14ac:dyDescent="0.2">
      <c r="B80" s="84"/>
      <c r="C80" s="45"/>
      <c r="D80" s="45"/>
      <c r="E80" s="45"/>
      <c r="F80" s="678"/>
      <c r="G80" s="21"/>
      <c r="H80" s="21"/>
      <c r="I80" s="21"/>
      <c r="J80" s="678"/>
      <c r="K80" s="678"/>
      <c r="L80" s="679"/>
      <c r="N80" s="680"/>
    </row>
    <row r="81" spans="2:14" x14ac:dyDescent="0.2">
      <c r="B81" s="84"/>
      <c r="D81" s="45"/>
      <c r="E81" s="45"/>
      <c r="F81" s="45"/>
      <c r="G81" s="443"/>
      <c r="H81" s="425"/>
      <c r="I81" s="21"/>
      <c r="J81" s="45"/>
      <c r="K81" s="45"/>
      <c r="L81" s="12"/>
    </row>
    <row r="82" spans="2:14" x14ac:dyDescent="0.2">
      <c r="B82" s="84"/>
      <c r="C82" s="45"/>
      <c r="D82" s="45"/>
      <c r="E82" s="1557" t="s">
        <v>1078</v>
      </c>
      <c r="F82" s="1557"/>
      <c r="G82" s="1557"/>
      <c r="H82" s="426">
        <f>SUMPRODUCT(G68:G78,H68:H78)</f>
        <v>105.5373103804049</v>
      </c>
      <c r="I82" s="21" t="s">
        <v>1079</v>
      </c>
      <c r="J82" s="45"/>
      <c r="K82" s="45"/>
      <c r="L82" s="12"/>
    </row>
    <row r="83" spans="2:14" x14ac:dyDescent="0.2">
      <c r="B83" s="84"/>
      <c r="C83" s="45"/>
      <c r="D83" s="45"/>
      <c r="E83" s="45"/>
      <c r="F83" s="45"/>
      <c r="G83" s="45"/>
      <c r="H83" s="45"/>
      <c r="I83" s="45"/>
      <c r="J83" s="45"/>
      <c r="K83" s="45"/>
      <c r="L83" s="12"/>
    </row>
    <row r="84" spans="2:14" x14ac:dyDescent="0.2">
      <c r="B84" s="88"/>
      <c r="C84" s="89"/>
      <c r="D84" s="89"/>
      <c r="E84" s="89"/>
      <c r="F84" s="89"/>
      <c r="G84" s="89"/>
      <c r="H84" s="89"/>
      <c r="I84" s="89"/>
      <c r="J84" s="89"/>
      <c r="K84" s="89"/>
      <c r="L84" s="90"/>
    </row>
    <row r="85" spans="2:14" x14ac:dyDescent="0.2">
      <c r="B85" s="48"/>
      <c r="L85" s="112"/>
    </row>
    <row r="86" spans="2:14" ht="70.5" customHeight="1" x14ac:dyDescent="0.2">
      <c r="B86" s="1383" t="s">
        <v>620</v>
      </c>
      <c r="C86" s="1383"/>
      <c r="D86" s="1383"/>
      <c r="E86" s="531" t="s">
        <v>1080</v>
      </c>
      <c r="F86" s="181" t="s">
        <v>1023</v>
      </c>
      <c r="G86" s="181" t="s">
        <v>1024</v>
      </c>
      <c r="H86" s="181" t="s">
        <v>1025</v>
      </c>
      <c r="I86" s="181" t="s">
        <v>1026</v>
      </c>
      <c r="J86" s="201" t="s">
        <v>1027</v>
      </c>
      <c r="K86" s="616" t="s">
        <v>1028</v>
      </c>
      <c r="L86" s="1088" t="s">
        <v>1081</v>
      </c>
    </row>
    <row r="87" spans="2:14" ht="15" customHeight="1" x14ac:dyDescent="0.2">
      <c r="B87" s="1558" t="s">
        <v>624</v>
      </c>
      <c r="C87" s="1559" t="s">
        <v>625</v>
      </c>
      <c r="D87" s="179" t="s">
        <v>346</v>
      </c>
      <c r="E87" s="805"/>
      <c r="F87" s="805">
        <v>94600</v>
      </c>
      <c r="G87" s="805">
        <v>1</v>
      </c>
      <c r="H87" s="806">
        <v>1.5</v>
      </c>
      <c r="I87" s="376">
        <f t="shared" ref="I87" si="8">F87+G87*CH4_GWP+H87*N2O_GWP</f>
        <v>95036.5</v>
      </c>
      <c r="J87" s="821">
        <f>I87*0.002326</f>
        <v>221.05489900000001</v>
      </c>
      <c r="K87" s="1086" t="s">
        <v>1032</v>
      </c>
      <c r="L87" s="1089" t="s">
        <v>1082</v>
      </c>
    </row>
    <row r="88" spans="2:14" ht="14.75" customHeight="1" x14ac:dyDescent="0.2">
      <c r="B88" s="1558"/>
      <c r="C88" s="1559"/>
      <c r="D88" s="179" t="s">
        <v>344</v>
      </c>
      <c r="E88" s="805"/>
      <c r="F88" s="805">
        <v>69300</v>
      </c>
      <c r="G88" s="805">
        <v>3</v>
      </c>
      <c r="H88" s="806">
        <v>0.6</v>
      </c>
      <c r="I88" s="376">
        <f>F88+G88*CH4_GWP+H88*N2O_GWP</f>
        <v>69544.800000000003</v>
      </c>
      <c r="J88" s="821">
        <f t="shared" ref="J88:J97" si="9">I88*0.002326</f>
        <v>161.7612048</v>
      </c>
      <c r="K88" s="1086" t="s">
        <v>1032</v>
      </c>
      <c r="L88" s="1037" t="s">
        <v>413</v>
      </c>
    </row>
    <row r="89" spans="2:14" ht="14.75" customHeight="1" x14ac:dyDescent="0.2">
      <c r="B89" s="1558"/>
      <c r="C89" s="1559"/>
      <c r="D89" s="179" t="s">
        <v>348</v>
      </c>
      <c r="E89" s="805"/>
      <c r="F89" s="805">
        <v>56100</v>
      </c>
      <c r="G89" s="805">
        <v>1</v>
      </c>
      <c r="H89" s="806">
        <v>0.1</v>
      </c>
      <c r="I89" s="376">
        <f t="shared" ref="I89:I90" si="10">F89+G89*CH4_GWP+H89*N2O_GWP</f>
        <v>56154.3</v>
      </c>
      <c r="J89" s="821">
        <f t="shared" si="9"/>
        <v>130.61490180000001</v>
      </c>
      <c r="K89" s="1087" t="s">
        <v>1032</v>
      </c>
      <c r="L89" s="1090" t="s">
        <v>348</v>
      </c>
    </row>
    <row r="90" spans="2:14" ht="14.75" customHeight="1" x14ac:dyDescent="0.2">
      <c r="B90" s="1558"/>
      <c r="C90" s="1559"/>
      <c r="D90" s="179" t="s">
        <v>626</v>
      </c>
      <c r="E90" s="805"/>
      <c r="F90" s="805">
        <v>44400</v>
      </c>
      <c r="G90" s="805">
        <v>1</v>
      </c>
      <c r="H90" s="806">
        <v>0.1</v>
      </c>
      <c r="I90" s="376">
        <f t="shared" si="10"/>
        <v>44454.3</v>
      </c>
      <c r="J90" s="821">
        <f t="shared" si="9"/>
        <v>103.40070180000001</v>
      </c>
      <c r="K90" s="1086" t="s">
        <v>1032</v>
      </c>
      <c r="L90" s="779" t="s">
        <v>1083</v>
      </c>
    </row>
    <row r="91" spans="2:14" x14ac:dyDescent="0.2">
      <c r="B91" s="1558"/>
      <c r="C91" s="1559" t="s">
        <v>627</v>
      </c>
      <c r="D91" s="179" t="s">
        <v>628</v>
      </c>
      <c r="E91" s="805">
        <v>12</v>
      </c>
      <c r="F91" s="805"/>
      <c r="G91" s="805"/>
      <c r="H91" s="806"/>
      <c r="I91" s="376">
        <f t="shared" ref="I91:I97" si="11">F91+G91*CH4_GWP+H91*N2O_GWP+(E91/1000)*2.778 *10^5</f>
        <v>3333.6</v>
      </c>
      <c r="J91" s="821">
        <f t="shared" si="9"/>
        <v>7.7539536</v>
      </c>
      <c r="K91" s="828" t="s">
        <v>1068</v>
      </c>
      <c r="L91" s="779" t="s">
        <v>628</v>
      </c>
    </row>
    <row r="92" spans="2:14" x14ac:dyDescent="0.2">
      <c r="B92" s="1558"/>
      <c r="C92" s="1559"/>
      <c r="D92" s="179" t="s">
        <v>629</v>
      </c>
      <c r="E92" s="805">
        <v>24</v>
      </c>
      <c r="F92" s="805"/>
      <c r="G92" s="805"/>
      <c r="H92" s="806"/>
      <c r="I92" s="376">
        <f t="shared" si="11"/>
        <v>6667.2</v>
      </c>
      <c r="J92" s="821">
        <f t="shared" si="9"/>
        <v>15.5079072</v>
      </c>
      <c r="K92" s="828" t="s">
        <v>1068</v>
      </c>
      <c r="L92" s="779" t="s">
        <v>629</v>
      </c>
      <c r="M92" s="1085"/>
    </row>
    <row r="93" spans="2:14" x14ac:dyDescent="0.2">
      <c r="B93" s="1558"/>
      <c r="C93" s="1559"/>
      <c r="D93" s="179" t="s">
        <v>630</v>
      </c>
      <c r="E93" s="805">
        <v>230</v>
      </c>
      <c r="F93" s="805"/>
      <c r="G93" s="805"/>
      <c r="H93" s="806"/>
      <c r="I93" s="376">
        <f t="shared" si="11"/>
        <v>63894.000000000007</v>
      </c>
      <c r="J93" s="821">
        <f t="shared" si="9"/>
        <v>148.61744400000001</v>
      </c>
      <c r="K93" s="828" t="s">
        <v>1068</v>
      </c>
      <c r="L93" s="779" t="s">
        <v>1070</v>
      </c>
      <c r="M93" s="1085"/>
      <c r="N93" s="681"/>
    </row>
    <row r="94" spans="2:14" x14ac:dyDescent="0.2">
      <c r="B94" s="1558"/>
      <c r="C94" s="1559"/>
      <c r="D94" s="179" t="s">
        <v>631</v>
      </c>
      <c r="E94" s="805">
        <v>230</v>
      </c>
      <c r="F94" s="805"/>
      <c r="G94" s="805"/>
      <c r="H94" s="806"/>
      <c r="I94" s="376">
        <f t="shared" si="11"/>
        <v>63894.000000000007</v>
      </c>
      <c r="J94" s="821">
        <f t="shared" si="9"/>
        <v>148.61744400000001</v>
      </c>
      <c r="K94" s="828" t="s">
        <v>1068</v>
      </c>
      <c r="L94" s="779" t="s">
        <v>1070</v>
      </c>
      <c r="M94" s="1085"/>
      <c r="N94" s="681"/>
    </row>
    <row r="95" spans="2:14" x14ac:dyDescent="0.2">
      <c r="B95" s="1558"/>
      <c r="C95" s="1559"/>
      <c r="D95" s="179" t="s">
        <v>632</v>
      </c>
      <c r="E95" s="805">
        <v>38</v>
      </c>
      <c r="F95" s="805"/>
      <c r="G95" s="805"/>
      <c r="H95" s="806"/>
      <c r="I95" s="376">
        <f t="shared" si="11"/>
        <v>10556.4</v>
      </c>
      <c r="J95" s="821">
        <f t="shared" si="9"/>
        <v>24.554186399999999</v>
      </c>
      <c r="K95" s="828" t="s">
        <v>1068</v>
      </c>
      <c r="L95" s="779" t="s">
        <v>632</v>
      </c>
      <c r="M95" s="1085"/>
      <c r="N95" s="681"/>
    </row>
    <row r="96" spans="2:14" x14ac:dyDescent="0.2">
      <c r="B96" s="1558"/>
      <c r="C96" s="1559"/>
      <c r="D96" s="179" t="s">
        <v>417</v>
      </c>
      <c r="E96" s="805">
        <v>48</v>
      </c>
      <c r="F96" s="805"/>
      <c r="G96" s="805"/>
      <c r="H96" s="806"/>
      <c r="I96" s="376">
        <f t="shared" si="11"/>
        <v>13334.4</v>
      </c>
      <c r="J96" s="821">
        <f t="shared" si="9"/>
        <v>31.0158144</v>
      </c>
      <c r="K96" s="828" t="s">
        <v>1068</v>
      </c>
      <c r="L96" s="779" t="s">
        <v>1071</v>
      </c>
      <c r="M96" s="1085"/>
      <c r="N96" s="681"/>
    </row>
    <row r="97" spans="2:14" x14ac:dyDescent="0.2">
      <c r="B97" s="1548"/>
      <c r="C97" s="1549"/>
      <c r="D97" s="179" t="s">
        <v>633</v>
      </c>
      <c r="E97" s="805">
        <v>11</v>
      </c>
      <c r="F97" s="805"/>
      <c r="G97" s="805"/>
      <c r="H97" s="806"/>
      <c r="I97" s="376">
        <f t="shared" si="11"/>
        <v>3055.7999999999997</v>
      </c>
      <c r="J97" s="821">
        <f t="shared" si="9"/>
        <v>7.1077907999999992</v>
      </c>
      <c r="K97" s="828" t="s">
        <v>1068</v>
      </c>
      <c r="L97" s="779" t="s">
        <v>1084</v>
      </c>
      <c r="N97" s="681"/>
    </row>
  </sheetData>
  <mergeCells count="61">
    <mergeCell ref="B86:D86"/>
    <mergeCell ref="B87:B97"/>
    <mergeCell ref="C87:C90"/>
    <mergeCell ref="C91:C97"/>
    <mergeCell ref="B3:L3"/>
    <mergeCell ref="B41:H41"/>
    <mergeCell ref="D43:D46"/>
    <mergeCell ref="C49:I49"/>
    <mergeCell ref="D47:D48"/>
    <mergeCell ref="C43:C48"/>
    <mergeCell ref="C50:I50"/>
    <mergeCell ref="F12:H12"/>
    <mergeCell ref="B53:L53"/>
    <mergeCell ref="B52:L52"/>
    <mergeCell ref="B4:L4"/>
    <mergeCell ref="B40:L40"/>
    <mergeCell ref="B2:L2"/>
    <mergeCell ref="B1:L1"/>
    <mergeCell ref="E82:G82"/>
    <mergeCell ref="C67:E67"/>
    <mergeCell ref="C68:C78"/>
    <mergeCell ref="D68:D71"/>
    <mergeCell ref="D72:D78"/>
    <mergeCell ref="C79:E79"/>
    <mergeCell ref="B16:H16"/>
    <mergeCell ref="D19:D26"/>
    <mergeCell ref="D27:D30"/>
    <mergeCell ref="D32:D35"/>
    <mergeCell ref="B17:H17"/>
    <mergeCell ref="C19:C36"/>
    <mergeCell ref="B54:H54"/>
    <mergeCell ref="B39:L39"/>
    <mergeCell ref="B5:L5"/>
    <mergeCell ref="F8:H8"/>
    <mergeCell ref="F7:H7"/>
    <mergeCell ref="F9:H9"/>
    <mergeCell ref="F10:H10"/>
    <mergeCell ref="C37:I37"/>
    <mergeCell ref="B6:H6"/>
    <mergeCell ref="H55:J55"/>
    <mergeCell ref="I67:J67"/>
    <mergeCell ref="B66:H66"/>
    <mergeCell ref="B65:J65"/>
    <mergeCell ref="C56:C63"/>
    <mergeCell ref="D56:D57"/>
    <mergeCell ref="D58:D63"/>
    <mergeCell ref="C55:E55"/>
    <mergeCell ref="B15:L15"/>
    <mergeCell ref="B14:L14"/>
    <mergeCell ref="F11:H11"/>
    <mergeCell ref="I68:J68"/>
    <mergeCell ref="I69:J69"/>
    <mergeCell ref="I70:J70"/>
    <mergeCell ref="I71:J71"/>
    <mergeCell ref="I72:J72"/>
    <mergeCell ref="I77:J77"/>
    <mergeCell ref="I78:J78"/>
    <mergeCell ref="I73:J73"/>
    <mergeCell ref="I74:J74"/>
    <mergeCell ref="I75:J75"/>
    <mergeCell ref="I76:J76"/>
  </mergeCells>
  <phoneticPr fontId="74" type="noConversion"/>
  <hyperlinks>
    <hyperlink ref="I6" r:id="rId1" xr:uid="{1448BB8E-EE8A-49F4-85F6-FC7B5CA3EC0D}"/>
    <hyperlink ref="I16" r:id="rId2" xr:uid="{C65BA086-D42A-4939-8C76-D84E39235844}"/>
    <hyperlink ref="I41" r:id="rId3" xr:uid="{66AADD9B-7F35-439A-8604-B74AB178782B}"/>
    <hyperlink ref="I54" r:id="rId4" xr:uid="{26CDB188-2DAB-4833-9D3B-0FD2D5F97032}"/>
    <hyperlink ref="I66" r:id="rId5" location="/?f=A&amp;start=1949&amp;end=2020&amp;charted=1-2-3-5-8-14" xr:uid="{95628E1B-8F20-4E71-9816-8474E06870D8}"/>
    <hyperlink ref="I17" r:id="rId6" xr:uid="{D6E9CC23-9924-47AE-99A0-42D69F4F0ABB}"/>
    <hyperlink ref="F8:H8" r:id="rId7" display="2022 IPCC's 6th Assessment Report (AR6); Annex II; Table 9" xr:uid="{6A2C0087-C0BB-4FAE-8123-C860A8E69AEA}"/>
    <hyperlink ref="F9:H12" r:id="rId8" display="2022 IPCC's 6th Assessment Report (AR6); Annex II; Table 9" xr:uid="{F09E8BC7-D31C-450B-975D-806723AF85AD}"/>
    <hyperlink ref="K19" r:id="rId9" xr:uid="{C38C3457-93CD-4D5F-8791-D43718103475}"/>
    <hyperlink ref="K20:K36" r:id="rId10" display="2006 IPCC Volume 2, Chapter 2, Table 2.2" xr:uid="{28928560-F196-47E2-87EE-2A65D85E115D}"/>
    <hyperlink ref="L19" r:id="rId11" xr:uid="{5E1AAB5B-E109-426E-9226-01621F96969A}"/>
    <hyperlink ref="L20:L36" r:id="rId12" display="2019 IPCC Refinement - no updates" xr:uid="{AEF75567-41DA-41CA-B28C-810BDAE40EC2}"/>
    <hyperlink ref="K43" r:id="rId13" xr:uid="{7ECBF0A5-DF3A-492D-8E71-EBA465E6571D}"/>
    <hyperlink ref="K44:K48" r:id="rId14" display="2006 IPCC Volume 2, Chapter 3, Tables 3.2.1-2" xr:uid="{CB197B78-FDA8-4E7E-A0E3-006B1659B2E5}"/>
    <hyperlink ref="L43" r:id="rId15" xr:uid="{EB7AEF0B-92FC-472D-A805-5DC2E219F5F9}"/>
    <hyperlink ref="L44:L48" r:id="rId16" display="2019 IPCC Refinement - no updates" xr:uid="{39A28B68-2615-4A5C-AE96-ADF52C3906B0}"/>
    <hyperlink ref="H56:J56" r:id="rId17" display="IPCC's 5th Assignment (AR5); Annex III; Table A.III.2" xr:uid="{A7C7B28B-EA0C-49EE-947F-0E1BE8A22CF3}"/>
    <hyperlink ref="H57:J63" r:id="rId18" display="IPCC's 5th Assignment (AR5); Annex III; Table A.III.2" xr:uid="{87B6356B-508C-486D-8586-EDFC88A4D3E1}"/>
    <hyperlink ref="I68:J68" r:id="rId19" location="/?f=M&amp;start=197301&amp;end=202209&amp;charted=1-2-3-5-8-14" display="EIA Monthly Energy Review; Table 7.2A" xr:uid="{F8FD3F99-AA91-4814-A244-861C691D3AD9}"/>
    <hyperlink ref="I69:J78" r:id="rId20" location="/?f=M&amp;start=197301&amp;end=202209&amp;charted=1-2-3-5-8-14" display="EIA Monthly Energy Review; Table 7.2A" xr:uid="{B095E023-11BC-4321-905B-37E4DCC93563}"/>
    <hyperlink ref="K87" r:id="rId21" xr:uid="{8085F73A-E218-4A01-883B-0EC3E267AB3C}"/>
    <hyperlink ref="K91" r:id="rId22" xr:uid="{A96B18BA-FFA3-4F56-A6B1-F7FC709E5034}"/>
    <hyperlink ref="K92" r:id="rId23" xr:uid="{BAB425AD-E801-4243-BC63-46F23F53FA05}"/>
    <hyperlink ref="K93" r:id="rId24" xr:uid="{17802DFB-B29A-4FA6-83E7-F22657E13F6D}"/>
    <hyperlink ref="K94" r:id="rId25" xr:uid="{17E53380-913D-4516-BF98-9D05C391DA3B}"/>
    <hyperlink ref="K95" r:id="rId26" xr:uid="{ED459D87-42EF-4C00-B01D-DD6C99C661D7}"/>
    <hyperlink ref="K96" r:id="rId27" xr:uid="{88DDD0CD-780F-4F0B-95BC-5FD60C949BA4}"/>
    <hyperlink ref="K97" r:id="rId28" xr:uid="{31E69CC8-D6C4-4A2D-A3D4-A8EA35AD9BB5}"/>
    <hyperlink ref="K90" r:id="rId29" xr:uid="{668C6BEF-1F34-4D48-BB5B-2A4B992EF4A4}"/>
  </hyperlinks>
  <pageMargins left="0.7" right="0.7" top="0.75" bottom="0.75" header="0.3" footer="0.3"/>
  <pageSetup orientation="portrait" r:id="rId30"/>
  <drawing r:id="rId31"/>
  <legacyDrawing r:id="rId3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4EAD-3BF3-4832-9293-6BF8F025EE70}">
  <sheetPr>
    <tabColor rgb="FF7030A0"/>
  </sheetPr>
  <dimension ref="A1:O95"/>
  <sheetViews>
    <sheetView showGridLines="0" topLeftCell="A34" workbookViewId="0">
      <selection activeCell="B20" sqref="B20:J20"/>
    </sheetView>
  </sheetViews>
  <sheetFormatPr baseColWidth="10" defaultColWidth="8.83203125" defaultRowHeight="15" x14ac:dyDescent="0.2"/>
  <cols>
    <col min="1" max="1" width="2.6640625" customWidth="1"/>
    <col min="2" max="2" width="15.6640625" customWidth="1"/>
    <col min="3" max="3" width="18.5" customWidth="1"/>
    <col min="4" max="4" width="13" customWidth="1"/>
    <col min="5" max="5" width="33.33203125" customWidth="1"/>
    <col min="6" max="6" width="21.33203125" bestFit="1" customWidth="1"/>
    <col min="7" max="7" width="15.6640625" customWidth="1"/>
    <col min="8" max="8" width="17.5" bestFit="1" customWidth="1"/>
    <col min="9" max="9" width="12.6640625" customWidth="1"/>
    <col min="10" max="10" width="52" bestFit="1" customWidth="1"/>
    <col min="11" max="11" width="43" customWidth="1"/>
    <col min="12" max="12" width="39.6640625" customWidth="1"/>
    <col min="13" max="13" width="31.6640625" customWidth="1"/>
    <col min="14" max="14" width="3.6640625" customWidth="1"/>
    <col min="15" max="15" width="3" customWidth="1"/>
  </cols>
  <sheetData>
    <row r="1" spans="1:15" ht="15.75" customHeight="1" x14ac:dyDescent="0.2">
      <c r="A1" s="5"/>
      <c r="B1" s="1159" t="s">
        <v>0</v>
      </c>
      <c r="C1" s="1160"/>
      <c r="D1" s="1160"/>
      <c r="E1" s="1160"/>
      <c r="F1" s="1160"/>
      <c r="G1" s="1160"/>
      <c r="H1" s="1160"/>
      <c r="I1" s="1160"/>
      <c r="J1" s="1160"/>
      <c r="K1" s="1160"/>
      <c r="L1" s="1160"/>
      <c r="M1" s="1160"/>
      <c r="N1" s="1490"/>
      <c r="O1" s="5"/>
    </row>
    <row r="2" spans="1:15" ht="21" customHeight="1" x14ac:dyDescent="0.2">
      <c r="A2" s="5"/>
      <c r="B2" s="1161" t="s">
        <v>1</v>
      </c>
      <c r="C2" s="1162"/>
      <c r="D2" s="1162"/>
      <c r="E2" s="1162"/>
      <c r="F2" s="1162"/>
      <c r="G2" s="1162"/>
      <c r="H2" s="1162"/>
      <c r="I2" s="1162"/>
      <c r="J2" s="1162"/>
      <c r="K2" s="1162"/>
      <c r="L2" s="1162"/>
      <c r="M2" s="1162"/>
      <c r="N2" s="1491"/>
      <c r="O2" s="5"/>
    </row>
    <row r="3" spans="1:15" ht="18" x14ac:dyDescent="0.2">
      <c r="A3" s="5"/>
      <c r="B3" s="1163" t="s">
        <v>1085</v>
      </c>
      <c r="C3" s="1165"/>
      <c r="D3" s="1165"/>
      <c r="E3" s="1165"/>
      <c r="F3" s="1165"/>
      <c r="G3" s="1165"/>
      <c r="H3" s="1165"/>
      <c r="I3" s="1165"/>
      <c r="J3" s="1165"/>
      <c r="K3" s="1165"/>
      <c r="L3" s="1165"/>
      <c r="M3" s="1165"/>
      <c r="N3" s="1326"/>
      <c r="O3" s="5"/>
    </row>
    <row r="4" spans="1:15" ht="28.5" customHeight="1" x14ac:dyDescent="0.2">
      <c r="B4" s="1551" t="s">
        <v>1086</v>
      </c>
      <c r="C4" s="1569"/>
      <c r="D4" s="1569"/>
      <c r="E4" s="1569"/>
      <c r="F4" s="1569"/>
      <c r="G4" s="1569"/>
      <c r="H4" s="1569"/>
      <c r="I4" s="1569"/>
      <c r="J4" s="1569"/>
      <c r="K4" s="1569"/>
      <c r="L4" s="1569"/>
      <c r="M4" s="1569"/>
      <c r="N4" s="1570"/>
    </row>
    <row r="5" spans="1:15" ht="24.75" customHeight="1" x14ac:dyDescent="0.2">
      <c r="B5" s="1188" t="s">
        <v>1087</v>
      </c>
      <c r="C5" s="1189"/>
      <c r="D5" s="1189"/>
      <c r="E5" s="1189"/>
      <c r="F5" s="1189"/>
      <c r="G5" s="1189"/>
      <c r="H5" s="1189"/>
      <c r="I5" s="1189"/>
      <c r="J5" s="1189"/>
      <c r="K5" s="1189"/>
      <c r="L5" s="1189"/>
      <c r="M5" s="1189"/>
      <c r="N5" s="1492"/>
    </row>
    <row r="6" spans="1:15" ht="15" customHeight="1" x14ac:dyDescent="0.2">
      <c r="B6" s="1541" t="s">
        <v>1088</v>
      </c>
      <c r="C6" s="1566"/>
      <c r="D6" s="1566"/>
      <c r="E6" s="1566"/>
      <c r="F6" s="1566"/>
      <c r="G6" s="1566"/>
      <c r="H6" s="1566"/>
      <c r="I6" s="1566"/>
      <c r="J6" s="1566"/>
      <c r="K6" s="374" t="s">
        <v>1001</v>
      </c>
      <c r="L6" s="647"/>
      <c r="M6" s="647"/>
      <c r="N6" s="666"/>
    </row>
    <row r="7" spans="1:15" ht="15" customHeight="1" x14ac:dyDescent="0.2">
      <c r="B7" s="1541" t="s">
        <v>1089</v>
      </c>
      <c r="C7" s="1566"/>
      <c r="D7" s="1566"/>
      <c r="E7" s="1566"/>
      <c r="F7" s="1566"/>
      <c r="G7" s="1566"/>
      <c r="H7" s="1566"/>
      <c r="I7" s="1566"/>
      <c r="J7" s="1566"/>
      <c r="K7" s="374" t="s">
        <v>1001</v>
      </c>
      <c r="L7" s="647"/>
      <c r="M7" s="647"/>
      <c r="N7" s="666"/>
    </row>
    <row r="8" spans="1:15" ht="15" customHeight="1" x14ac:dyDescent="0.2">
      <c r="B8" s="1541" t="s">
        <v>1090</v>
      </c>
      <c r="C8" s="1566"/>
      <c r="D8" s="1566"/>
      <c r="E8" s="1566"/>
      <c r="F8" s="1566"/>
      <c r="G8" s="1566"/>
      <c r="H8" s="1566"/>
      <c r="I8" s="1566"/>
      <c r="J8" s="1566"/>
      <c r="K8" s="374" t="s">
        <v>1001</v>
      </c>
      <c r="L8" s="647"/>
      <c r="M8" s="647"/>
      <c r="N8" s="666"/>
    </row>
    <row r="9" spans="1:15" ht="15" customHeight="1" x14ac:dyDescent="0.2">
      <c r="B9" s="1541" t="s">
        <v>1091</v>
      </c>
      <c r="C9" s="1566"/>
      <c r="D9" s="1566"/>
      <c r="E9" s="1566"/>
      <c r="F9" s="1566"/>
      <c r="G9" s="1566"/>
      <c r="H9" s="1566"/>
      <c r="I9" s="1566"/>
      <c r="J9" s="1566"/>
      <c r="K9" s="374" t="s">
        <v>1001</v>
      </c>
      <c r="L9" s="647"/>
      <c r="M9" s="647"/>
      <c r="N9" s="666"/>
    </row>
    <row r="10" spans="1:15" ht="15" customHeight="1" x14ac:dyDescent="0.2">
      <c r="B10" s="1541" t="s">
        <v>1092</v>
      </c>
      <c r="C10" s="1566"/>
      <c r="D10" s="1566"/>
      <c r="E10" s="1566"/>
      <c r="F10" s="1566"/>
      <c r="G10" s="1566"/>
      <c r="H10" s="1566"/>
      <c r="I10" s="1566"/>
      <c r="J10" s="1566"/>
      <c r="K10" s="374" t="s">
        <v>1001</v>
      </c>
      <c r="L10" s="374"/>
      <c r="M10" s="676"/>
      <c r="N10" s="12"/>
    </row>
    <row r="11" spans="1:15" ht="15" customHeight="1" x14ac:dyDescent="0.2">
      <c r="B11" s="1541" t="s">
        <v>1093</v>
      </c>
      <c r="C11" s="1566"/>
      <c r="D11" s="1566"/>
      <c r="E11" s="1566"/>
      <c r="F11" s="1566"/>
      <c r="G11" s="1566"/>
      <c r="H11" s="1566"/>
      <c r="I11" s="1566"/>
      <c r="J11" s="1566"/>
      <c r="K11" s="374" t="s">
        <v>1001</v>
      </c>
      <c r="L11" s="374"/>
      <c r="M11" s="676"/>
      <c r="N11" s="12"/>
    </row>
    <row r="12" spans="1:15" ht="15" customHeight="1" x14ac:dyDescent="0.2">
      <c r="B12" s="1541" t="s">
        <v>1094</v>
      </c>
      <c r="C12" s="1566"/>
      <c r="D12" s="1566"/>
      <c r="E12" s="1566"/>
      <c r="F12" s="1566"/>
      <c r="G12" s="1566"/>
      <c r="H12" s="1566"/>
      <c r="I12" s="1566"/>
      <c r="J12" s="1566"/>
      <c r="K12" s="374" t="s">
        <v>1001</v>
      </c>
      <c r="L12" s="374"/>
      <c r="M12" s="676"/>
      <c r="N12" s="12"/>
    </row>
    <row r="13" spans="1:15" ht="15" customHeight="1" x14ac:dyDescent="0.2">
      <c r="B13" s="1541" t="s">
        <v>1095</v>
      </c>
      <c r="C13" s="1566"/>
      <c r="D13" s="1566"/>
      <c r="E13" s="1566"/>
      <c r="F13" s="1566"/>
      <c r="G13" s="1566"/>
      <c r="H13" s="1566"/>
      <c r="I13" s="1566"/>
      <c r="J13" s="1566"/>
      <c r="K13" s="374" t="s">
        <v>1001</v>
      </c>
      <c r="L13" s="374"/>
      <c r="M13" s="676"/>
      <c r="N13" s="12"/>
    </row>
    <row r="14" spans="1:15" ht="15" customHeight="1" x14ac:dyDescent="0.2">
      <c r="B14" s="1541" t="s">
        <v>1096</v>
      </c>
      <c r="C14" s="1566"/>
      <c r="D14" s="1566"/>
      <c r="E14" s="1566"/>
      <c r="F14" s="1566"/>
      <c r="G14" s="1566"/>
      <c r="H14" s="1566"/>
      <c r="I14" s="1566"/>
      <c r="J14" s="1566"/>
      <c r="K14" s="374" t="s">
        <v>1001</v>
      </c>
      <c r="L14" s="374"/>
      <c r="M14" s="676"/>
      <c r="N14" s="12"/>
    </row>
    <row r="15" spans="1:15" ht="15" customHeight="1" x14ac:dyDescent="0.2">
      <c r="B15" s="1541" t="s">
        <v>1097</v>
      </c>
      <c r="C15" s="1566"/>
      <c r="D15" s="1566"/>
      <c r="E15" s="1566"/>
      <c r="F15" s="1566"/>
      <c r="G15" s="1566"/>
      <c r="H15" s="1566"/>
      <c r="I15" s="1566"/>
      <c r="J15" s="1566"/>
      <c r="K15" s="374" t="s">
        <v>1001</v>
      </c>
      <c r="L15" s="374"/>
      <c r="M15" s="676"/>
      <c r="N15" s="12"/>
    </row>
    <row r="16" spans="1:15" ht="15" customHeight="1" x14ac:dyDescent="0.2">
      <c r="B16" s="1541" t="s">
        <v>1098</v>
      </c>
      <c r="C16" s="1566"/>
      <c r="D16" s="1566"/>
      <c r="E16" s="1566"/>
      <c r="F16" s="1566"/>
      <c r="G16" s="1566"/>
      <c r="H16" s="1566"/>
      <c r="I16" s="1566"/>
      <c r="J16" s="1566"/>
      <c r="K16" s="374" t="s">
        <v>1001</v>
      </c>
      <c r="L16" s="374"/>
      <c r="M16" s="676"/>
      <c r="N16" s="12"/>
    </row>
    <row r="17" spans="2:14" ht="15" customHeight="1" x14ac:dyDescent="0.2">
      <c r="B17" s="1541" t="s">
        <v>1099</v>
      </c>
      <c r="C17" s="1566"/>
      <c r="D17" s="1566"/>
      <c r="E17" s="1566"/>
      <c r="F17" s="1566"/>
      <c r="G17" s="1566"/>
      <c r="H17" s="1566"/>
      <c r="I17" s="1566"/>
      <c r="J17" s="1566"/>
      <c r="K17" s="374" t="s">
        <v>1001</v>
      </c>
      <c r="L17" s="374"/>
      <c r="M17" s="676"/>
      <c r="N17" s="12"/>
    </row>
    <row r="18" spans="2:14" ht="15" customHeight="1" x14ac:dyDescent="0.2">
      <c r="B18" s="1541" t="s">
        <v>1100</v>
      </c>
      <c r="C18" s="1566"/>
      <c r="D18" s="1566"/>
      <c r="E18" s="1566"/>
      <c r="F18" s="1566"/>
      <c r="G18" s="1566"/>
      <c r="H18" s="1566"/>
      <c r="I18" s="1566"/>
      <c r="J18" s="1566"/>
      <c r="K18" s="374" t="s">
        <v>1001</v>
      </c>
      <c r="L18" s="374"/>
      <c r="M18" s="676"/>
      <c r="N18" s="12"/>
    </row>
    <row r="19" spans="2:14" ht="15" customHeight="1" x14ac:dyDescent="0.2">
      <c r="B19" s="1541" t="s">
        <v>1101</v>
      </c>
      <c r="C19" s="1566"/>
      <c r="D19" s="1566"/>
      <c r="E19" s="1566"/>
      <c r="F19" s="1566"/>
      <c r="G19" s="1566"/>
      <c r="H19" s="1566"/>
      <c r="I19" s="1566"/>
      <c r="J19" s="1566"/>
      <c r="K19" s="374" t="s">
        <v>1001</v>
      </c>
      <c r="L19" s="374"/>
      <c r="M19" s="676"/>
      <c r="N19" s="12"/>
    </row>
    <row r="20" spans="2:14" ht="15" customHeight="1" x14ac:dyDescent="0.2">
      <c r="B20" s="1541" t="s">
        <v>1102</v>
      </c>
      <c r="C20" s="1566"/>
      <c r="D20" s="1566"/>
      <c r="E20" s="1566"/>
      <c r="F20" s="1566"/>
      <c r="G20" s="1566"/>
      <c r="H20" s="1566"/>
      <c r="I20" s="1566"/>
      <c r="J20" s="1566"/>
      <c r="K20" s="374" t="s">
        <v>1001</v>
      </c>
      <c r="L20" s="374"/>
      <c r="M20" s="676"/>
      <c r="N20" s="12"/>
    </row>
    <row r="21" spans="2:14" ht="15" customHeight="1" x14ac:dyDescent="0.2">
      <c r="B21" s="1541" t="s">
        <v>1103</v>
      </c>
      <c r="C21" s="1566"/>
      <c r="D21" s="1566"/>
      <c r="E21" s="1566"/>
      <c r="F21" s="1566"/>
      <c r="G21" s="1566"/>
      <c r="H21" s="1566"/>
      <c r="I21" s="1566"/>
      <c r="J21" s="1566"/>
      <c r="K21" s="374" t="s">
        <v>1001</v>
      </c>
      <c r="L21" s="374"/>
      <c r="M21" s="676"/>
      <c r="N21" s="12"/>
    </row>
    <row r="22" spans="2:14" ht="15" customHeight="1" x14ac:dyDescent="0.2">
      <c r="B22" s="1541" t="s">
        <v>1104</v>
      </c>
      <c r="C22" s="1566"/>
      <c r="D22" s="1566"/>
      <c r="E22" s="1566"/>
      <c r="F22" s="1566"/>
      <c r="G22" s="1566"/>
      <c r="H22" s="1566"/>
      <c r="I22" s="1566"/>
      <c r="J22" s="1566"/>
      <c r="K22" s="374" t="s">
        <v>1001</v>
      </c>
      <c r="L22" s="374"/>
      <c r="M22" s="676"/>
      <c r="N22" s="12"/>
    </row>
    <row r="23" spans="2:14" ht="15" customHeight="1" x14ac:dyDescent="0.2">
      <c r="B23" s="1541" t="s">
        <v>1105</v>
      </c>
      <c r="C23" s="1566"/>
      <c r="D23" s="1566"/>
      <c r="E23" s="1566"/>
      <c r="F23" s="1566"/>
      <c r="G23" s="1566"/>
      <c r="H23" s="1566"/>
      <c r="I23" s="1566"/>
      <c r="J23" s="1566"/>
      <c r="K23" s="374" t="s">
        <v>1001</v>
      </c>
      <c r="L23" s="374"/>
      <c r="M23" s="676"/>
      <c r="N23" s="12"/>
    </row>
    <row r="24" spans="2:14" ht="15" customHeight="1" x14ac:dyDescent="0.2">
      <c r="B24" s="1541" t="s">
        <v>1106</v>
      </c>
      <c r="C24" s="1566"/>
      <c r="D24" s="1566"/>
      <c r="E24" s="1566"/>
      <c r="F24" s="1566"/>
      <c r="G24" s="1566"/>
      <c r="H24" s="1566"/>
      <c r="I24" s="1566"/>
      <c r="J24" s="1566"/>
      <c r="K24" s="374" t="s">
        <v>1001</v>
      </c>
      <c r="L24" s="374"/>
      <c r="M24" s="676"/>
      <c r="N24" s="12"/>
    </row>
    <row r="25" spans="2:14" ht="15" customHeight="1" x14ac:dyDescent="0.2">
      <c r="B25" s="1541" t="s">
        <v>1107</v>
      </c>
      <c r="C25" s="1566"/>
      <c r="D25" s="1566"/>
      <c r="E25" s="1566"/>
      <c r="F25" s="1566"/>
      <c r="G25" s="1566"/>
      <c r="H25" s="1566"/>
      <c r="I25" s="1566"/>
      <c r="J25" s="1566"/>
      <c r="K25" s="374" t="s">
        <v>1001</v>
      </c>
      <c r="L25" s="374"/>
      <c r="M25" s="676"/>
      <c r="N25" s="12"/>
    </row>
    <row r="26" spans="2:14" ht="15" customHeight="1" x14ac:dyDescent="0.2">
      <c r="B26" s="1541" t="s">
        <v>1108</v>
      </c>
      <c r="C26" s="1566"/>
      <c r="D26" s="1566"/>
      <c r="E26" s="1566"/>
      <c r="F26" s="1566"/>
      <c r="G26" s="1566"/>
      <c r="H26" s="1566"/>
      <c r="I26" s="1566"/>
      <c r="J26" s="1566"/>
      <c r="K26" s="374" t="s">
        <v>1001</v>
      </c>
      <c r="L26" s="374"/>
      <c r="M26" s="676"/>
      <c r="N26" s="12"/>
    </row>
    <row r="27" spans="2:14" ht="15" customHeight="1" x14ac:dyDescent="0.2">
      <c r="B27" s="1541" t="s">
        <v>1109</v>
      </c>
      <c r="C27" s="1566"/>
      <c r="D27" s="1566"/>
      <c r="E27" s="1566"/>
      <c r="F27" s="1566"/>
      <c r="G27" s="1566"/>
      <c r="H27" s="1566"/>
      <c r="I27" s="1566"/>
      <c r="J27" s="1566"/>
      <c r="K27" s="374" t="s">
        <v>1001</v>
      </c>
      <c r="L27" s="374"/>
      <c r="M27" s="676"/>
      <c r="N27" s="12"/>
    </row>
    <row r="28" spans="2:14" ht="15" customHeight="1" x14ac:dyDescent="0.2">
      <c r="B28" s="1541" t="s">
        <v>1110</v>
      </c>
      <c r="C28" s="1566"/>
      <c r="D28" s="1566"/>
      <c r="E28" s="1566"/>
      <c r="F28" s="1566"/>
      <c r="G28" s="1566"/>
      <c r="H28" s="1566"/>
      <c r="I28" s="1566"/>
      <c r="J28" s="1566"/>
      <c r="K28" s="374" t="s">
        <v>1001</v>
      </c>
      <c r="L28" s="374"/>
      <c r="M28" s="676"/>
      <c r="N28" s="12"/>
    </row>
    <row r="29" spans="2:14" ht="15" customHeight="1" x14ac:dyDescent="0.2">
      <c r="B29" s="1541" t="s">
        <v>1111</v>
      </c>
      <c r="C29" s="1566"/>
      <c r="D29" s="1566"/>
      <c r="E29" s="1566"/>
      <c r="F29" s="1566"/>
      <c r="G29" s="1566"/>
      <c r="H29" s="1566"/>
      <c r="I29" s="1566"/>
      <c r="J29" s="1566"/>
      <c r="K29" s="374" t="s">
        <v>1001</v>
      </c>
      <c r="L29" s="374"/>
      <c r="M29" s="676"/>
      <c r="N29" s="12"/>
    </row>
    <row r="30" spans="2:14" ht="15" customHeight="1" x14ac:dyDescent="0.2">
      <c r="B30" s="1541" t="s">
        <v>1112</v>
      </c>
      <c r="C30" s="1566"/>
      <c r="D30" s="1566"/>
      <c r="E30" s="1566"/>
      <c r="F30" s="1566"/>
      <c r="G30" s="1566"/>
      <c r="H30" s="1566"/>
      <c r="I30" s="1566"/>
      <c r="J30" s="1566"/>
      <c r="K30" s="833" t="s">
        <v>1001</v>
      </c>
      <c r="L30" s="374"/>
      <c r="M30" s="676"/>
      <c r="N30" s="12"/>
    </row>
    <row r="31" spans="2:14" ht="15" customHeight="1" x14ac:dyDescent="0.2">
      <c r="B31" s="1541" t="s">
        <v>1113</v>
      </c>
      <c r="C31" s="1566"/>
      <c r="D31" s="1566"/>
      <c r="E31" s="1566"/>
      <c r="F31" s="1566"/>
      <c r="G31" s="1566"/>
      <c r="H31" s="1566"/>
      <c r="I31" s="1566"/>
      <c r="J31" s="1566"/>
      <c r="K31" s="374" t="s">
        <v>1001</v>
      </c>
      <c r="L31" s="374"/>
      <c r="M31" s="676"/>
      <c r="N31" s="12"/>
    </row>
    <row r="32" spans="2:14" ht="15" customHeight="1" x14ac:dyDescent="0.2">
      <c r="B32" s="1541" t="s">
        <v>1114</v>
      </c>
      <c r="C32" s="1566"/>
      <c r="D32" s="1566"/>
      <c r="E32" s="1566"/>
      <c r="F32" s="1566"/>
      <c r="G32" s="1566"/>
      <c r="H32" s="1566"/>
      <c r="I32" s="1566"/>
      <c r="J32" s="1566"/>
      <c r="K32" s="374" t="s">
        <v>1001</v>
      </c>
      <c r="L32" s="374"/>
      <c r="M32" s="676"/>
      <c r="N32" s="12"/>
    </row>
    <row r="33" spans="2:14" ht="15" customHeight="1" x14ac:dyDescent="0.2">
      <c r="B33" s="84"/>
      <c r="C33" s="45"/>
      <c r="D33" s="45"/>
      <c r="E33" s="45"/>
      <c r="F33" s="45"/>
      <c r="G33" s="45"/>
      <c r="H33" s="45"/>
      <c r="I33" s="45"/>
      <c r="J33" s="45"/>
      <c r="K33" s="45"/>
      <c r="L33" s="374"/>
      <c r="M33" s="676"/>
      <c r="N33" s="12"/>
    </row>
    <row r="34" spans="2:14" x14ac:dyDescent="0.2">
      <c r="B34" s="675"/>
      <c r="C34" s="676"/>
      <c r="D34" s="676"/>
      <c r="E34" s="676"/>
      <c r="F34" s="676"/>
      <c r="G34" s="676"/>
      <c r="H34" s="676"/>
      <c r="I34" s="676"/>
      <c r="J34" s="676"/>
      <c r="K34" s="374"/>
      <c r="L34" s="437"/>
      <c r="M34" s="676"/>
      <c r="N34" s="12"/>
    </row>
    <row r="35" spans="2:14" ht="57" x14ac:dyDescent="0.2">
      <c r="B35" s="38"/>
      <c r="C35" s="124" t="s">
        <v>1021</v>
      </c>
      <c r="D35" s="124" t="s">
        <v>1022</v>
      </c>
      <c r="E35" s="124" t="s">
        <v>403</v>
      </c>
      <c r="F35" s="181" t="s">
        <v>1115</v>
      </c>
      <c r="G35" s="181" t="s">
        <v>1116</v>
      </c>
      <c r="H35" s="181" t="s">
        <v>1117</v>
      </c>
      <c r="I35" s="181" t="s">
        <v>1118</v>
      </c>
      <c r="J35" s="181" t="s">
        <v>1119</v>
      </c>
      <c r="K35" s="438" t="s">
        <v>1028</v>
      </c>
      <c r="L35" s="438" t="s">
        <v>1029</v>
      </c>
      <c r="M35" s="647"/>
      <c r="N35" s="26"/>
    </row>
    <row r="36" spans="2:14" ht="28" x14ac:dyDescent="0.2">
      <c r="B36" s="38"/>
      <c r="C36" s="1558" t="s">
        <v>1030</v>
      </c>
      <c r="D36" s="165" t="s">
        <v>343</v>
      </c>
      <c r="E36" s="296" t="s">
        <v>343</v>
      </c>
      <c r="F36" s="771" t="s">
        <v>1120</v>
      </c>
      <c r="G36" s="771" t="s">
        <v>1121</v>
      </c>
      <c r="H36" s="809">
        <f>3412*0.000001</f>
        <v>3.4119999999999997E-3</v>
      </c>
      <c r="I36" s="819">
        <v>7.1800000000000003E-2</v>
      </c>
      <c r="J36" s="771" t="s">
        <v>1122</v>
      </c>
      <c r="K36" s="13" t="s">
        <v>1123</v>
      </c>
      <c r="L36" s="13" t="s">
        <v>1124</v>
      </c>
      <c r="M36" s="676"/>
      <c r="N36" s="26"/>
    </row>
    <row r="37" spans="2:14" ht="28" x14ac:dyDescent="0.2">
      <c r="B37" s="38"/>
      <c r="C37" s="1563"/>
      <c r="D37" s="1559" t="s">
        <v>344</v>
      </c>
      <c r="E37" s="296" t="s">
        <v>1125</v>
      </c>
      <c r="F37" s="296" t="s">
        <v>1126</v>
      </c>
      <c r="G37" s="562" t="s">
        <v>197</v>
      </c>
      <c r="H37" s="810">
        <f>6.636/42</f>
        <v>0.158</v>
      </c>
      <c r="I37" s="811">
        <f>406.43/(5.5*42)</f>
        <v>1.7594372294372296</v>
      </c>
      <c r="J37" s="780" t="s">
        <v>1127</v>
      </c>
      <c r="K37" s="13" t="s">
        <v>1128</v>
      </c>
      <c r="L37" s="13" t="s">
        <v>1129</v>
      </c>
      <c r="M37" s="676"/>
      <c r="N37" s="26"/>
    </row>
    <row r="38" spans="2:14" ht="28" x14ac:dyDescent="0.2">
      <c r="B38" s="38"/>
      <c r="C38" s="1563"/>
      <c r="D38" s="1567"/>
      <c r="E38" s="296" t="s">
        <v>345</v>
      </c>
      <c r="F38" s="296" t="s">
        <v>1126</v>
      </c>
      <c r="G38" s="562" t="s">
        <v>197</v>
      </c>
      <c r="H38" s="810">
        <f>5.77/42</f>
        <v>0.13738095238095238</v>
      </c>
      <c r="I38" s="811">
        <v>2.52</v>
      </c>
      <c r="J38" s="780" t="s">
        <v>1130</v>
      </c>
      <c r="K38" s="13" t="s">
        <v>1128</v>
      </c>
      <c r="L38" s="13" t="s">
        <v>1129</v>
      </c>
      <c r="M38" s="676"/>
      <c r="N38" s="26"/>
    </row>
    <row r="39" spans="2:14" ht="28" x14ac:dyDescent="0.2">
      <c r="B39" s="38"/>
      <c r="C39" s="1563"/>
      <c r="D39" s="1567"/>
      <c r="E39" s="296" t="s">
        <v>355</v>
      </c>
      <c r="F39" s="296" t="s">
        <v>1126</v>
      </c>
      <c r="G39" s="562" t="s">
        <v>197</v>
      </c>
      <c r="H39" s="810">
        <f>3.369/42</f>
        <v>8.0214285714285724E-2</v>
      </c>
      <c r="I39" s="811">
        <v>0.98</v>
      </c>
      <c r="J39" s="780" t="s">
        <v>1130</v>
      </c>
      <c r="K39" s="13" t="s">
        <v>1128</v>
      </c>
      <c r="L39" s="13" t="s">
        <v>1131</v>
      </c>
      <c r="M39" s="676"/>
      <c r="N39" s="26"/>
    </row>
    <row r="40" spans="2:14" ht="28" x14ac:dyDescent="0.2">
      <c r="B40" s="38"/>
      <c r="C40" s="1563"/>
      <c r="D40" s="1567"/>
      <c r="E40" s="296" t="s">
        <v>1035</v>
      </c>
      <c r="F40" s="296" t="s">
        <v>1126</v>
      </c>
      <c r="G40" s="562" t="s">
        <v>197</v>
      </c>
      <c r="H40" s="810">
        <f>5.67/42</f>
        <v>0.13500000000000001</v>
      </c>
      <c r="I40" s="811">
        <v>2.13</v>
      </c>
      <c r="J40" s="780" t="s">
        <v>1127</v>
      </c>
      <c r="K40" s="13" t="s">
        <v>1128</v>
      </c>
      <c r="L40" s="13" t="s">
        <v>1132</v>
      </c>
      <c r="M40" s="676"/>
      <c r="N40" s="26"/>
    </row>
    <row r="41" spans="2:14" ht="28" x14ac:dyDescent="0.2">
      <c r="B41" s="38"/>
      <c r="C41" s="1563"/>
      <c r="D41" s="1567"/>
      <c r="E41" s="296" t="s">
        <v>413</v>
      </c>
      <c r="F41" s="296" t="s">
        <v>1126</v>
      </c>
      <c r="G41" s="562" t="s">
        <v>197</v>
      </c>
      <c r="H41" s="810">
        <f>5.05/42</f>
        <v>0.12023809523809523</v>
      </c>
      <c r="I41" s="811">
        <v>2.59</v>
      </c>
      <c r="J41" s="780" t="s">
        <v>1130</v>
      </c>
      <c r="K41" s="13" t="s">
        <v>1128</v>
      </c>
      <c r="L41" s="13" t="s">
        <v>1132</v>
      </c>
      <c r="M41" s="676"/>
      <c r="N41" s="26"/>
    </row>
    <row r="42" spans="2:14" ht="28" x14ac:dyDescent="0.2">
      <c r="B42" s="38"/>
      <c r="C42" s="1563"/>
      <c r="D42" s="1567"/>
      <c r="E42" s="296" t="s">
        <v>357</v>
      </c>
      <c r="F42" s="296" t="s">
        <v>1126</v>
      </c>
      <c r="G42" s="562" t="s">
        <v>197</v>
      </c>
      <c r="H42" s="810">
        <f>6.135/42</f>
        <v>0.14607142857142857</v>
      </c>
      <c r="I42" s="811">
        <v>0.63</v>
      </c>
      <c r="J42" s="780" t="s">
        <v>1130</v>
      </c>
      <c r="K42" s="13" t="s">
        <v>1128</v>
      </c>
      <c r="L42" s="13" t="s">
        <v>1132</v>
      </c>
      <c r="M42" s="676"/>
      <c r="N42" s="26"/>
    </row>
    <row r="43" spans="2:14" ht="28" x14ac:dyDescent="0.2">
      <c r="B43" s="84"/>
      <c r="C43" s="1563"/>
      <c r="D43" s="1567"/>
      <c r="E43" s="296" t="s">
        <v>1036</v>
      </c>
      <c r="F43" s="296" t="s">
        <v>1126</v>
      </c>
      <c r="G43" s="562" t="s">
        <v>197</v>
      </c>
      <c r="H43" s="810">
        <f>6.287/42</f>
        <v>0.14969047619047618</v>
      </c>
      <c r="I43" s="811">
        <v>1.72</v>
      </c>
      <c r="J43" s="780" t="s">
        <v>1127</v>
      </c>
      <c r="K43" s="13" t="s">
        <v>1128</v>
      </c>
      <c r="L43" s="13" t="s">
        <v>1132</v>
      </c>
      <c r="M43" s="676"/>
      <c r="N43" s="12"/>
    </row>
    <row r="44" spans="2:14" ht="28" x14ac:dyDescent="0.2">
      <c r="B44" s="84"/>
      <c r="C44" s="1563"/>
      <c r="D44" s="1568"/>
      <c r="E44" s="296" t="s">
        <v>1037</v>
      </c>
      <c r="F44" s="296" t="s">
        <v>1126</v>
      </c>
      <c r="G44" s="562" t="s">
        <v>197</v>
      </c>
      <c r="H44" s="810">
        <f>5.825/42</f>
        <v>0.1386904761904762</v>
      </c>
      <c r="I44" s="811">
        <f>AVERAGE(I36:I43)</f>
        <v>1.550154653679654</v>
      </c>
      <c r="J44" s="780" t="s">
        <v>1133</v>
      </c>
      <c r="K44" s="13" t="s">
        <v>1128</v>
      </c>
      <c r="L44" s="13" t="s">
        <v>1134</v>
      </c>
      <c r="M44" s="676"/>
      <c r="N44" s="12"/>
    </row>
    <row r="45" spans="2:14" ht="42" x14ac:dyDescent="0.2">
      <c r="B45" s="84"/>
      <c r="C45" s="1563"/>
      <c r="D45" s="1559" t="s">
        <v>346</v>
      </c>
      <c r="E45" s="296" t="s">
        <v>415</v>
      </c>
      <c r="F45" s="296" t="s">
        <v>1135</v>
      </c>
      <c r="G45" s="562" t="s">
        <v>1136</v>
      </c>
      <c r="H45" s="812">
        <v>28.666</v>
      </c>
      <c r="I45" s="811">
        <v>219.62</v>
      </c>
      <c r="J45" s="780" t="s">
        <v>1137</v>
      </c>
      <c r="K45" s="13" t="s">
        <v>1138</v>
      </c>
      <c r="L45" s="13" t="s">
        <v>1132</v>
      </c>
      <c r="M45" s="676"/>
      <c r="N45" s="12"/>
    </row>
    <row r="46" spans="2:14" ht="42" x14ac:dyDescent="0.2">
      <c r="B46" s="84"/>
      <c r="C46" s="1563"/>
      <c r="D46" s="1567"/>
      <c r="E46" s="296" t="s">
        <v>1139</v>
      </c>
      <c r="F46" s="296" t="s">
        <v>1135</v>
      </c>
      <c r="G46" s="562" t="s">
        <v>1136</v>
      </c>
      <c r="H46" s="812">
        <v>20.577999999999999</v>
      </c>
      <c r="I46" s="811">
        <v>96.15</v>
      </c>
      <c r="J46" s="780" t="s">
        <v>1140</v>
      </c>
      <c r="K46" s="13" t="s">
        <v>1141</v>
      </c>
      <c r="L46" s="13" t="s">
        <v>1132</v>
      </c>
      <c r="M46" s="676"/>
      <c r="N46" s="12"/>
    </row>
    <row r="47" spans="2:14" ht="42" x14ac:dyDescent="0.2">
      <c r="B47" s="84"/>
      <c r="C47" s="1563"/>
      <c r="D47" s="1567"/>
      <c r="E47" s="296" t="s">
        <v>347</v>
      </c>
      <c r="F47" s="296" t="s">
        <v>1135</v>
      </c>
      <c r="G47" s="562" t="s">
        <v>1136</v>
      </c>
      <c r="H47" s="812">
        <v>20.577999999999999</v>
      </c>
      <c r="I47" s="811">
        <v>135.66</v>
      </c>
      <c r="J47" s="780" t="s">
        <v>1140</v>
      </c>
      <c r="K47" s="13" t="s">
        <v>1141</v>
      </c>
      <c r="L47" s="13" t="s">
        <v>1132</v>
      </c>
      <c r="M47" s="676"/>
      <c r="N47" s="12"/>
    </row>
    <row r="48" spans="2:14" ht="42" x14ac:dyDescent="0.2">
      <c r="B48" s="84"/>
      <c r="C48" s="1563"/>
      <c r="D48" s="1568"/>
      <c r="E48" s="296" t="s">
        <v>1040</v>
      </c>
      <c r="F48" s="296" t="s">
        <v>1135</v>
      </c>
      <c r="G48" s="562" t="s">
        <v>1136</v>
      </c>
      <c r="H48" s="812">
        <v>20.577999999999999</v>
      </c>
      <c r="I48" s="811">
        <v>219.26</v>
      </c>
      <c r="J48" s="780" t="s">
        <v>1140</v>
      </c>
      <c r="K48" s="13" t="s">
        <v>1141</v>
      </c>
      <c r="L48" s="13" t="s">
        <v>1132</v>
      </c>
      <c r="M48" s="676"/>
      <c r="N48" s="12"/>
    </row>
    <row r="49" spans="2:14" ht="28" x14ac:dyDescent="0.2">
      <c r="B49" s="84"/>
      <c r="C49" s="1563"/>
      <c r="D49" s="126" t="s">
        <v>348</v>
      </c>
      <c r="E49" s="296" t="s">
        <v>348</v>
      </c>
      <c r="F49" s="296" t="s">
        <v>1142</v>
      </c>
      <c r="G49" s="562" t="s">
        <v>1143</v>
      </c>
      <c r="H49" s="810">
        <v>1.0389999999999999</v>
      </c>
      <c r="I49" s="811">
        <v>6.02</v>
      </c>
      <c r="J49" s="780" t="s">
        <v>1144</v>
      </c>
      <c r="K49" s="13" t="s">
        <v>1145</v>
      </c>
      <c r="L49" s="13" t="s">
        <v>1146</v>
      </c>
      <c r="N49" s="12"/>
    </row>
    <row r="50" spans="2:14" ht="42" x14ac:dyDescent="0.2">
      <c r="B50" s="84"/>
      <c r="C50" s="1563"/>
      <c r="D50" s="1558" t="s">
        <v>562</v>
      </c>
      <c r="E50" s="771" t="s">
        <v>350</v>
      </c>
      <c r="F50" s="296" t="s">
        <v>1147</v>
      </c>
      <c r="G50" s="562" t="s">
        <v>561</v>
      </c>
      <c r="H50" s="813">
        <v>1</v>
      </c>
      <c r="I50" s="811">
        <v>2.89</v>
      </c>
      <c r="J50" s="780" t="s">
        <v>1148</v>
      </c>
      <c r="K50" s="13" t="s">
        <v>1149</v>
      </c>
      <c r="L50" s="13"/>
      <c r="M50" s="676"/>
      <c r="N50" s="12"/>
    </row>
    <row r="51" spans="2:14" ht="28" x14ac:dyDescent="0.2">
      <c r="B51" s="84"/>
      <c r="C51" s="1563"/>
      <c r="D51" s="1563"/>
      <c r="E51" s="296" t="s">
        <v>1150</v>
      </c>
      <c r="F51" s="296" t="s">
        <v>1147</v>
      </c>
      <c r="G51" s="562" t="s">
        <v>561</v>
      </c>
      <c r="H51" s="813">
        <v>1</v>
      </c>
      <c r="I51" s="811">
        <v>3.07</v>
      </c>
      <c r="J51" s="780" t="s">
        <v>1148</v>
      </c>
      <c r="K51" s="13" t="s">
        <v>1151</v>
      </c>
      <c r="L51" s="13"/>
      <c r="M51" s="676"/>
      <c r="N51" s="12"/>
    </row>
    <row r="52" spans="2:14" ht="28" x14ac:dyDescent="0.2">
      <c r="B52" s="84"/>
      <c r="C52" s="1563"/>
      <c r="D52" s="1563"/>
      <c r="E52" s="296" t="s">
        <v>1152</v>
      </c>
      <c r="F52" s="296" t="s">
        <v>1147</v>
      </c>
      <c r="G52" s="562" t="s">
        <v>1121</v>
      </c>
      <c r="H52" s="809">
        <f>3412*0.000001</f>
        <v>3.4119999999999997E-3</v>
      </c>
      <c r="I52" s="811">
        <v>6.7000000000000004E-2</v>
      </c>
      <c r="J52" s="1092" t="s">
        <v>1153</v>
      </c>
      <c r="K52" s="13" t="s">
        <v>1154</v>
      </c>
      <c r="L52" s="13" t="s">
        <v>1155</v>
      </c>
      <c r="N52" s="12"/>
    </row>
    <row r="53" spans="2:14" ht="28" x14ac:dyDescent="0.2">
      <c r="B53" s="84"/>
      <c r="C53" s="1563"/>
      <c r="D53" s="1563"/>
      <c r="E53" s="296" t="s">
        <v>1156</v>
      </c>
      <c r="F53" s="296" t="s">
        <v>1147</v>
      </c>
      <c r="G53" s="562" t="s">
        <v>561</v>
      </c>
      <c r="H53" s="813">
        <v>1</v>
      </c>
      <c r="I53" s="811">
        <v>0</v>
      </c>
      <c r="J53" s="780" t="s">
        <v>1157</v>
      </c>
      <c r="K53" s="13" t="s">
        <v>1158</v>
      </c>
      <c r="L53" s="13"/>
      <c r="M53" s="676"/>
      <c r="N53" s="12"/>
    </row>
    <row r="54" spans="2:14" ht="28" x14ac:dyDescent="0.2">
      <c r="B54" s="84"/>
      <c r="C54" s="1563"/>
      <c r="D54" s="1563"/>
      <c r="E54" s="835" t="s">
        <v>1159</v>
      </c>
      <c r="F54" s="296" t="s">
        <v>1147</v>
      </c>
      <c r="G54" s="562" t="s">
        <v>561</v>
      </c>
      <c r="H54" s="813">
        <v>1</v>
      </c>
      <c r="I54" s="811">
        <f>0.048*293.071</f>
        <v>14.067408000000002</v>
      </c>
      <c r="J54" s="817" t="s">
        <v>1160</v>
      </c>
      <c r="K54" s="13" t="s">
        <v>1161</v>
      </c>
      <c r="L54" s="13"/>
      <c r="M54" s="676"/>
      <c r="N54" s="12"/>
    </row>
    <row r="55" spans="2:14" ht="28" x14ac:dyDescent="0.2">
      <c r="B55" s="84"/>
      <c r="C55" s="1563"/>
      <c r="D55" s="1563"/>
      <c r="E55" s="835" t="s">
        <v>632</v>
      </c>
      <c r="F55" s="296" t="s">
        <v>1147</v>
      </c>
      <c r="G55" s="562" t="s">
        <v>561</v>
      </c>
      <c r="H55" s="813">
        <v>1</v>
      </c>
      <c r="I55" s="811">
        <f>0.068*293.071</f>
        <v>19.928828000000003</v>
      </c>
      <c r="J55" s="817" t="s">
        <v>1162</v>
      </c>
      <c r="K55" s="13" t="s">
        <v>1163</v>
      </c>
      <c r="L55" s="13"/>
      <c r="N55" s="12"/>
    </row>
    <row r="56" spans="2:14" ht="28" x14ac:dyDescent="0.2">
      <c r="B56" s="84"/>
      <c r="C56" s="1563"/>
      <c r="D56" s="1563"/>
      <c r="E56" s="835" t="s">
        <v>417</v>
      </c>
      <c r="F56" s="296" t="s">
        <v>1147</v>
      </c>
      <c r="G56" s="562" t="s">
        <v>561</v>
      </c>
      <c r="H56" s="813">
        <v>1</v>
      </c>
      <c r="I56" s="811">
        <f>0.048*293.071</f>
        <v>14.067408000000002</v>
      </c>
      <c r="J56" s="817" t="s">
        <v>1164</v>
      </c>
      <c r="K56" s="13" t="s">
        <v>1165</v>
      </c>
      <c r="L56" s="13"/>
      <c r="M56" s="676"/>
      <c r="N56" s="12"/>
    </row>
    <row r="57" spans="2:14" ht="28" x14ac:dyDescent="0.2">
      <c r="B57" s="84"/>
      <c r="C57" s="1563"/>
      <c r="D57" s="1565"/>
      <c r="E57" s="835" t="s">
        <v>633</v>
      </c>
      <c r="F57" s="296" t="s">
        <v>1147</v>
      </c>
      <c r="G57" s="562" t="s">
        <v>561</v>
      </c>
      <c r="H57" s="813">
        <v>1</v>
      </c>
      <c r="I57" s="811">
        <f>0.033*293.071</f>
        <v>9.671343000000002</v>
      </c>
      <c r="J57" s="817" t="s">
        <v>1166</v>
      </c>
      <c r="K57" s="13" t="s">
        <v>1167</v>
      </c>
      <c r="L57" s="13"/>
      <c r="M57" s="676"/>
      <c r="N57" s="12"/>
    </row>
    <row r="58" spans="2:14" ht="28" x14ac:dyDescent="0.2">
      <c r="B58" s="84"/>
      <c r="C58" s="1565"/>
      <c r="D58" s="649" t="s">
        <v>351</v>
      </c>
      <c r="E58" s="836" t="s">
        <v>418</v>
      </c>
      <c r="F58" s="836" t="s">
        <v>1168</v>
      </c>
      <c r="G58" s="837" t="s">
        <v>561</v>
      </c>
      <c r="H58" s="814">
        <v>1</v>
      </c>
      <c r="I58" s="815">
        <v>4.7</v>
      </c>
      <c r="J58" s="818" t="s">
        <v>1169</v>
      </c>
      <c r="K58" s="13" t="s">
        <v>1170</v>
      </c>
      <c r="L58" s="13" t="s">
        <v>1171</v>
      </c>
      <c r="N58" s="12"/>
    </row>
    <row r="59" spans="2:14" x14ac:dyDescent="0.2">
      <c r="B59" s="84"/>
      <c r="C59" s="659"/>
      <c r="D59" s="653"/>
      <c r="E59" s="385"/>
      <c r="F59" s="430"/>
      <c r="G59" s="385"/>
      <c r="H59" s="431"/>
      <c r="I59" s="435"/>
      <c r="J59" s="436"/>
      <c r="K59" s="676"/>
      <c r="L59" s="676"/>
      <c r="M59" s="676"/>
      <c r="N59" s="12"/>
    </row>
    <row r="60" spans="2:14" x14ac:dyDescent="0.2">
      <c r="B60" s="84"/>
      <c r="C60" s="659"/>
      <c r="D60" s="653"/>
      <c r="E60" s="385"/>
      <c r="F60" s="430"/>
      <c r="G60" s="385"/>
      <c r="H60" s="431"/>
      <c r="I60" s="431"/>
      <c r="J60" s="432"/>
      <c r="K60" s="676"/>
      <c r="L60" s="676"/>
      <c r="M60" s="676"/>
      <c r="N60" s="12"/>
    </row>
    <row r="61" spans="2:14" x14ac:dyDescent="0.2">
      <c r="B61" s="84"/>
      <c r="C61" s="659"/>
      <c r="D61" s="653"/>
      <c r="E61" s="385"/>
      <c r="F61" s="430"/>
      <c r="G61" s="385"/>
      <c r="H61" s="431"/>
      <c r="I61" s="431"/>
      <c r="J61" s="432"/>
      <c r="K61" s="676"/>
      <c r="L61" s="676"/>
      <c r="M61" s="676"/>
      <c r="N61" s="12"/>
    </row>
    <row r="62" spans="2:14" x14ac:dyDescent="0.2">
      <c r="B62" s="84"/>
      <c r="C62" s="45"/>
      <c r="D62" s="45"/>
      <c r="E62" s="45"/>
      <c r="F62" s="45"/>
      <c r="G62" s="45"/>
      <c r="H62" s="45"/>
      <c r="I62" s="45"/>
      <c r="J62" s="45"/>
      <c r="K62" s="676"/>
      <c r="L62" s="676"/>
      <c r="M62" s="676"/>
      <c r="N62" s="12"/>
    </row>
    <row r="63" spans="2:14" ht="57" x14ac:dyDescent="0.2">
      <c r="B63" s="84"/>
      <c r="C63" s="124" t="s">
        <v>1021</v>
      </c>
      <c r="D63" s="124" t="s">
        <v>1022</v>
      </c>
      <c r="E63" s="124" t="s">
        <v>403</v>
      </c>
      <c r="F63" s="181" t="s">
        <v>1115</v>
      </c>
      <c r="G63" s="181" t="s">
        <v>1116</v>
      </c>
      <c r="H63" s="181" t="s">
        <v>1117</v>
      </c>
      <c r="I63" s="201" t="s">
        <v>1118</v>
      </c>
      <c r="J63" s="181" t="s">
        <v>1119</v>
      </c>
      <c r="K63" s="438" t="s">
        <v>1028</v>
      </c>
      <c r="L63" s="438" t="s">
        <v>1029</v>
      </c>
      <c r="M63" s="676"/>
      <c r="N63" s="12"/>
    </row>
    <row r="64" spans="2:14" ht="28" x14ac:dyDescent="0.2">
      <c r="B64" s="84"/>
      <c r="C64" s="1558" t="s">
        <v>113</v>
      </c>
      <c r="D64" s="442" t="s">
        <v>343</v>
      </c>
      <c r="E64" s="296" t="s">
        <v>343</v>
      </c>
      <c r="F64" s="834" t="s">
        <v>1147</v>
      </c>
      <c r="G64" s="771" t="s">
        <v>1121</v>
      </c>
      <c r="H64" s="809">
        <f>3412*0.000001</f>
        <v>3.4119999999999997E-3</v>
      </c>
      <c r="I64" s="816">
        <v>0.10199999999999999</v>
      </c>
      <c r="J64" s="379" t="s">
        <v>1122</v>
      </c>
      <c r="K64" s="13" t="s">
        <v>1172</v>
      </c>
      <c r="L64" s="13" t="s">
        <v>1173</v>
      </c>
      <c r="M64" s="676"/>
      <c r="N64" s="12"/>
    </row>
    <row r="65" spans="2:14" ht="28" x14ac:dyDescent="0.2">
      <c r="B65" s="84"/>
      <c r="C65" s="1563"/>
      <c r="D65" s="1559" t="s">
        <v>344</v>
      </c>
      <c r="E65" s="296" t="s">
        <v>1174</v>
      </c>
      <c r="F65" s="296" t="s">
        <v>1126</v>
      </c>
      <c r="G65" s="562" t="s">
        <v>197</v>
      </c>
      <c r="H65" s="810">
        <f>5.0486/42</f>
        <v>0.12020476190476191</v>
      </c>
      <c r="I65" s="816">
        <v>3.4689999999999999</v>
      </c>
      <c r="J65" s="379" t="s">
        <v>1175</v>
      </c>
      <c r="K65" s="13" t="s">
        <v>1176</v>
      </c>
      <c r="L65" s="13" t="s">
        <v>1177</v>
      </c>
      <c r="M65" s="676"/>
      <c r="N65" s="12"/>
    </row>
    <row r="66" spans="2:14" ht="28" x14ac:dyDescent="0.2">
      <c r="B66" s="84"/>
      <c r="C66" s="1563"/>
      <c r="D66" s="1567"/>
      <c r="E66" s="296" t="s">
        <v>345</v>
      </c>
      <c r="F66" s="296" t="s">
        <v>1126</v>
      </c>
      <c r="G66" s="562" t="s">
        <v>197</v>
      </c>
      <c r="H66" s="810">
        <f>5.77/42</f>
        <v>0.13738095238095238</v>
      </c>
      <c r="I66" s="816">
        <v>2.5510000000000002</v>
      </c>
      <c r="J66" s="379" t="s">
        <v>1178</v>
      </c>
      <c r="K66" s="13" t="s">
        <v>1179</v>
      </c>
      <c r="L66" s="13"/>
      <c r="M66" s="676"/>
      <c r="N66" s="12"/>
    </row>
    <row r="67" spans="2:14" ht="28" x14ac:dyDescent="0.2">
      <c r="B67" s="84"/>
      <c r="C67" s="1563"/>
      <c r="D67" s="1567"/>
      <c r="E67" s="296" t="s">
        <v>1180</v>
      </c>
      <c r="F67" s="296" t="s">
        <v>1126</v>
      </c>
      <c r="G67" s="562" t="s">
        <v>197</v>
      </c>
      <c r="H67" s="810">
        <f>3.841/42</f>
        <v>9.1452380952380952E-2</v>
      </c>
      <c r="I67" s="816">
        <v>1.0880000000000001</v>
      </c>
      <c r="J67" s="379" t="s">
        <v>1175</v>
      </c>
      <c r="K67" s="13" t="s">
        <v>1176</v>
      </c>
      <c r="L67" s="13" t="s">
        <v>1177</v>
      </c>
      <c r="N67" s="12"/>
    </row>
    <row r="68" spans="2:14" ht="28" x14ac:dyDescent="0.2">
      <c r="B68" s="84"/>
      <c r="C68" s="1563"/>
      <c r="D68" s="1567"/>
      <c r="E68" s="296" t="s">
        <v>1181</v>
      </c>
      <c r="F68" s="296" t="s">
        <v>1126</v>
      </c>
      <c r="G68" s="562" t="s">
        <v>197</v>
      </c>
      <c r="H68" s="810">
        <f>5.355/42</f>
        <v>0.1275</v>
      </c>
      <c r="I68" s="816">
        <v>1.954</v>
      </c>
      <c r="J68" s="379" t="s">
        <v>1175</v>
      </c>
      <c r="K68" s="13" t="s">
        <v>1182</v>
      </c>
      <c r="L68" s="13" t="s">
        <v>1183</v>
      </c>
      <c r="M68" s="676"/>
      <c r="N68" s="12"/>
    </row>
    <row r="69" spans="2:14" ht="28" x14ac:dyDescent="0.2">
      <c r="B69" s="84"/>
      <c r="C69" s="1563"/>
      <c r="D69" s="1567"/>
      <c r="E69" s="296" t="s">
        <v>421</v>
      </c>
      <c r="F69" s="296" t="s">
        <v>1126</v>
      </c>
      <c r="G69" s="562" t="s">
        <v>197</v>
      </c>
      <c r="H69" s="810">
        <f>5.052/42</f>
        <v>0.12028571428571427</v>
      </c>
      <c r="I69" s="816">
        <v>2.242</v>
      </c>
      <c r="J69" s="379" t="s">
        <v>1178</v>
      </c>
      <c r="K69" s="13" t="s">
        <v>1179</v>
      </c>
      <c r="L69" s="13"/>
      <c r="M69" s="676"/>
      <c r="N69" s="12"/>
    </row>
    <row r="70" spans="2:14" ht="28" x14ac:dyDescent="0.2">
      <c r="B70" s="84"/>
      <c r="C70" s="1563"/>
      <c r="D70" s="1567"/>
      <c r="E70" s="296" t="s">
        <v>1184</v>
      </c>
      <c r="F70" s="296" t="s">
        <v>1126</v>
      </c>
      <c r="G70" s="562" t="s">
        <v>197</v>
      </c>
      <c r="H70" s="810">
        <f>6.287/42</f>
        <v>0.14969047619047618</v>
      </c>
      <c r="I70" s="816">
        <v>1.246</v>
      </c>
      <c r="J70" s="379" t="s">
        <v>1185</v>
      </c>
      <c r="K70" s="13" t="s">
        <v>1176</v>
      </c>
      <c r="L70" s="13"/>
      <c r="N70" s="12"/>
    </row>
    <row r="71" spans="2:14" ht="42" x14ac:dyDescent="0.2">
      <c r="B71" s="84"/>
      <c r="C71" s="1563"/>
      <c r="D71" s="1568"/>
      <c r="E71" s="296" t="s">
        <v>1186</v>
      </c>
      <c r="F71" s="296" t="s">
        <v>1126</v>
      </c>
      <c r="G71" s="562" t="s">
        <v>197</v>
      </c>
      <c r="H71" s="810">
        <f>5.825/42</f>
        <v>0.1386904761904762</v>
      </c>
      <c r="I71" s="816">
        <f>AVERAGE(I64:I70)</f>
        <v>1.8074285714285714</v>
      </c>
      <c r="J71" s="379" t="s">
        <v>1187</v>
      </c>
      <c r="K71" s="13" t="s">
        <v>1188</v>
      </c>
      <c r="L71" s="13"/>
      <c r="M71" s="676"/>
      <c r="N71" s="12"/>
    </row>
    <row r="72" spans="2:14" ht="28" x14ac:dyDescent="0.2">
      <c r="B72" s="84"/>
      <c r="C72" s="1563"/>
      <c r="D72" s="442" t="s">
        <v>348</v>
      </c>
      <c r="E72" s="296" t="s">
        <v>422</v>
      </c>
      <c r="F72" s="296" t="s">
        <v>1142</v>
      </c>
      <c r="G72" s="562" t="s">
        <v>1143</v>
      </c>
      <c r="H72" s="810">
        <v>1.0389999999999999</v>
      </c>
      <c r="I72" s="811">
        <v>6.02</v>
      </c>
      <c r="J72" s="379" t="s">
        <v>1189</v>
      </c>
      <c r="K72" s="13" t="s">
        <v>1145</v>
      </c>
      <c r="L72" s="13" t="s">
        <v>1146</v>
      </c>
      <c r="M72" s="676"/>
      <c r="N72" s="12"/>
    </row>
    <row r="73" spans="2:14" ht="28" x14ac:dyDescent="0.2">
      <c r="B73" s="84"/>
      <c r="C73" s="1565"/>
      <c r="D73" s="439" t="s">
        <v>423</v>
      </c>
      <c r="E73" s="296" t="s">
        <v>424</v>
      </c>
      <c r="F73" s="296" t="s">
        <v>1147</v>
      </c>
      <c r="G73" s="562" t="s">
        <v>561</v>
      </c>
      <c r="H73" s="813">
        <v>1</v>
      </c>
      <c r="I73" s="811">
        <v>3.07</v>
      </c>
      <c r="J73" s="379" t="s">
        <v>1190</v>
      </c>
      <c r="K73" s="13" t="s">
        <v>1151</v>
      </c>
      <c r="L73" s="13"/>
      <c r="N73" s="12"/>
    </row>
    <row r="74" spans="2:14" x14ac:dyDescent="0.2">
      <c r="B74" s="84"/>
      <c r="C74" s="659"/>
      <c r="D74" s="653"/>
      <c r="E74" s="385"/>
      <c r="F74" s="430"/>
      <c r="G74" s="385"/>
      <c r="H74" s="431"/>
      <c r="I74" s="431"/>
      <c r="J74" s="436"/>
      <c r="K74" s="676"/>
      <c r="L74" s="676"/>
      <c r="M74" s="676"/>
      <c r="N74" s="12"/>
    </row>
    <row r="75" spans="2:14" x14ac:dyDescent="0.2">
      <c r="B75" s="84"/>
      <c r="C75" s="45"/>
      <c r="D75" s="45"/>
      <c r="E75" s="45"/>
      <c r="F75" s="45"/>
      <c r="G75" s="45"/>
      <c r="H75" s="45"/>
      <c r="I75" s="45"/>
      <c r="J75" s="45"/>
      <c r="K75" s="676"/>
      <c r="L75" s="676"/>
      <c r="M75" s="676"/>
      <c r="N75" s="12"/>
    </row>
    <row r="76" spans="2:14" ht="16" x14ac:dyDescent="0.2">
      <c r="B76" s="1551" t="s">
        <v>1191</v>
      </c>
      <c r="C76" s="1569"/>
      <c r="D76" s="1569"/>
      <c r="E76" s="1569"/>
      <c r="F76" s="1569"/>
      <c r="G76" s="1569"/>
      <c r="H76" s="1569"/>
      <c r="I76" s="1569"/>
      <c r="J76" s="1569"/>
      <c r="K76" s="1569"/>
      <c r="L76" s="1569"/>
      <c r="M76" s="1569"/>
      <c r="N76" s="1570"/>
    </row>
    <row r="77" spans="2:14" ht="15" customHeight="1" x14ac:dyDescent="0.2">
      <c r="B77" s="1188" t="s">
        <v>1192</v>
      </c>
      <c r="C77" s="1189"/>
      <c r="D77" s="1189"/>
      <c r="E77" s="1189"/>
      <c r="F77" s="1189"/>
      <c r="G77" s="1189"/>
      <c r="H77" s="1189"/>
      <c r="I77" s="1189"/>
      <c r="J77" s="1189"/>
      <c r="K77" s="1189"/>
      <c r="L77" s="1189"/>
      <c r="M77" s="1189"/>
      <c r="N77" s="1492"/>
    </row>
    <row r="78" spans="2:14" ht="15" customHeight="1" x14ac:dyDescent="0.2">
      <c r="B78" s="1541" t="s">
        <v>1193</v>
      </c>
      <c r="C78" s="1566"/>
      <c r="D78" s="1566"/>
      <c r="E78" s="1566"/>
      <c r="F78" s="1566"/>
      <c r="G78" s="1566"/>
      <c r="H78" s="1566"/>
      <c r="I78" s="1566"/>
      <c r="J78" s="1566"/>
      <c r="K78" s="374" t="s">
        <v>1001</v>
      </c>
      <c r="L78" s="647"/>
      <c r="M78" s="647"/>
      <c r="N78" s="666"/>
    </row>
    <row r="79" spans="2:14" ht="15" customHeight="1" x14ac:dyDescent="0.2">
      <c r="B79" s="1541" t="s">
        <v>1194</v>
      </c>
      <c r="C79" s="1566"/>
      <c r="D79" s="1566"/>
      <c r="E79" s="1566"/>
      <c r="F79" s="1566"/>
      <c r="G79" s="1566"/>
      <c r="H79" s="1566"/>
      <c r="I79" s="1566"/>
      <c r="J79" s="1566"/>
      <c r="K79" s="374" t="s">
        <v>1001</v>
      </c>
      <c r="L79" s="647"/>
      <c r="M79" s="647"/>
      <c r="N79" s="666"/>
    </row>
    <row r="80" spans="2:14" ht="15" customHeight="1" x14ac:dyDescent="0.2">
      <c r="B80" s="1541" t="s">
        <v>1089</v>
      </c>
      <c r="C80" s="1566"/>
      <c r="D80" s="1566"/>
      <c r="E80" s="1566"/>
      <c r="F80" s="1566"/>
      <c r="G80" s="1566"/>
      <c r="H80" s="1566"/>
      <c r="I80" s="1566"/>
      <c r="J80" s="1566"/>
      <c r="K80" s="374" t="s">
        <v>1001</v>
      </c>
      <c r="L80" s="647"/>
      <c r="M80" s="647"/>
      <c r="N80" s="666"/>
    </row>
    <row r="81" spans="2:14" ht="15" customHeight="1" x14ac:dyDescent="0.2">
      <c r="B81" s="1541" t="s">
        <v>1090</v>
      </c>
      <c r="C81" s="1566"/>
      <c r="D81" s="1566"/>
      <c r="E81" s="1566"/>
      <c r="F81" s="1566"/>
      <c r="G81" s="1566"/>
      <c r="H81" s="1566"/>
      <c r="I81" s="1566"/>
      <c r="J81" s="1566"/>
      <c r="K81" s="374" t="s">
        <v>1001</v>
      </c>
      <c r="L81" s="647"/>
      <c r="M81" s="647"/>
      <c r="N81" s="666"/>
    </row>
    <row r="82" spans="2:14" x14ac:dyDescent="0.2">
      <c r="B82" s="675"/>
      <c r="C82" s="676"/>
      <c r="D82" s="676"/>
      <c r="E82" s="676"/>
      <c r="F82" s="676"/>
      <c r="G82" s="676"/>
      <c r="H82" s="676"/>
      <c r="I82" s="676"/>
      <c r="J82" s="676"/>
      <c r="K82" s="374"/>
      <c r="L82" s="647"/>
      <c r="M82" s="647"/>
      <c r="N82" s="666"/>
    </row>
    <row r="83" spans="2:14" ht="57" x14ac:dyDescent="0.2">
      <c r="B83" s="675"/>
      <c r="C83" s="124" t="s">
        <v>1021</v>
      </c>
      <c r="D83" s="181" t="s">
        <v>1195</v>
      </c>
      <c r="E83" s="181" t="s">
        <v>1196</v>
      </c>
      <c r="F83" s="181" t="s">
        <v>1197</v>
      </c>
      <c r="G83" s="181" t="s">
        <v>1198</v>
      </c>
      <c r="H83" s="676"/>
      <c r="I83" s="676"/>
      <c r="J83" s="676"/>
      <c r="K83" s="374"/>
      <c r="L83" s="647"/>
      <c r="M83" s="647"/>
      <c r="N83" s="666"/>
    </row>
    <row r="84" spans="2:14" x14ac:dyDescent="0.2">
      <c r="B84" s="675"/>
      <c r="C84" s="124" t="s">
        <v>111</v>
      </c>
      <c r="D84" s="418">
        <v>3137.4479999999999</v>
      </c>
      <c r="E84" s="419">
        <v>5833.6319999999996</v>
      </c>
      <c r="F84" s="444">
        <f>D84+E84</f>
        <v>8971.08</v>
      </c>
      <c r="G84" s="422">
        <f>F84/D84</f>
        <v>2.8593557566531782</v>
      </c>
      <c r="H84" s="676"/>
      <c r="I84" s="676"/>
      <c r="J84" s="676"/>
      <c r="K84" s="374"/>
      <c r="L84" s="647"/>
      <c r="M84" s="647"/>
      <c r="N84" s="666"/>
    </row>
    <row r="85" spans="2:14" x14ac:dyDescent="0.2">
      <c r="B85" s="675"/>
      <c r="C85" s="124" t="s">
        <v>113</v>
      </c>
      <c r="D85" s="418">
        <v>22.286999999999999</v>
      </c>
      <c r="E85" s="419">
        <v>41.44</v>
      </c>
      <c r="F85" s="444">
        <f t="shared" ref="F85" si="0">D85+E85</f>
        <v>63.726999999999997</v>
      </c>
      <c r="G85" s="422">
        <f t="shared" ref="G85" si="1">F85/D85</f>
        <v>2.8593799075694353</v>
      </c>
      <c r="H85" s="676"/>
      <c r="I85" s="676"/>
      <c r="J85" s="676"/>
      <c r="K85" s="374"/>
      <c r="L85" s="647"/>
      <c r="M85" s="647"/>
      <c r="N85" s="666"/>
    </row>
    <row r="86" spans="2:14" x14ac:dyDescent="0.2">
      <c r="B86" s="675"/>
      <c r="C86" s="676"/>
      <c r="D86" s="676"/>
      <c r="E86" s="676"/>
      <c r="F86" s="676"/>
      <c r="G86" s="676"/>
      <c r="H86" s="676"/>
      <c r="I86" s="676"/>
      <c r="J86" s="676"/>
      <c r="K86" s="374"/>
      <c r="L86" s="647"/>
      <c r="M86" s="647"/>
      <c r="N86" s="666"/>
    </row>
    <row r="87" spans="2:14" ht="15" customHeight="1" x14ac:dyDescent="0.2">
      <c r="B87" s="1188" t="s">
        <v>1199</v>
      </c>
      <c r="C87" s="1189"/>
      <c r="D87" s="1189"/>
      <c r="E87" s="1189"/>
      <c r="F87" s="1189"/>
      <c r="G87" s="1189"/>
      <c r="H87" s="1189"/>
      <c r="I87" s="1189"/>
      <c r="J87" s="1189"/>
      <c r="K87" s="1189"/>
      <c r="L87" s="1189"/>
      <c r="M87" s="1189"/>
      <c r="N87" s="1492"/>
    </row>
    <row r="88" spans="2:14" ht="15" customHeight="1" x14ac:dyDescent="0.2">
      <c r="B88" s="1541" t="s">
        <v>1200</v>
      </c>
      <c r="C88" s="1566"/>
      <c r="D88" s="1566"/>
      <c r="E88" s="1566"/>
      <c r="F88" s="1566"/>
      <c r="G88" s="1566"/>
      <c r="H88" s="1566"/>
      <c r="I88" s="1566"/>
      <c r="J88" s="1566"/>
      <c r="K88" s="374" t="s">
        <v>1001</v>
      </c>
      <c r="L88" s="647"/>
      <c r="M88" s="647"/>
      <c r="N88" s="666"/>
    </row>
    <row r="89" spans="2:14" x14ac:dyDescent="0.2">
      <c r="B89" s="675"/>
      <c r="C89" s="676"/>
      <c r="D89" s="676"/>
      <c r="E89" s="676"/>
      <c r="F89" s="676"/>
      <c r="G89" s="676"/>
      <c r="H89" s="676"/>
      <c r="I89" s="676"/>
      <c r="J89" s="676"/>
      <c r="K89" s="374"/>
      <c r="L89" s="647"/>
      <c r="M89" s="647"/>
      <c r="N89" s="666"/>
    </row>
    <row r="90" spans="2:14" ht="14.25" customHeight="1" x14ac:dyDescent="0.2">
      <c r="B90" s="675"/>
      <c r="C90" s="45"/>
      <c r="D90" s="45"/>
      <c r="E90" s="296" t="s">
        <v>1201</v>
      </c>
      <c r="F90" s="771" t="s">
        <v>1202</v>
      </c>
      <c r="G90" s="676"/>
      <c r="H90" s="676"/>
      <c r="I90" s="676"/>
      <c r="J90" s="676"/>
      <c r="K90" s="374"/>
      <c r="L90" s="647"/>
      <c r="M90" s="647"/>
      <c r="N90" s="666"/>
    </row>
    <row r="91" spans="2:14" x14ac:dyDescent="0.2">
      <c r="B91" s="675"/>
      <c r="C91" s="45"/>
      <c r="D91" s="45"/>
      <c r="E91" s="296" t="s">
        <v>1203</v>
      </c>
      <c r="F91" s="772">
        <v>1.35</v>
      </c>
      <c r="G91" s="676"/>
      <c r="H91" s="676"/>
      <c r="I91" s="676"/>
      <c r="J91" s="676"/>
      <c r="K91" s="374"/>
      <c r="L91" s="647"/>
      <c r="M91" s="647"/>
      <c r="N91" s="666"/>
    </row>
    <row r="92" spans="2:14" x14ac:dyDescent="0.2">
      <c r="B92" s="675"/>
      <c r="C92" s="45"/>
      <c r="D92" s="45"/>
      <c r="E92" s="296" t="s">
        <v>1204</v>
      </c>
      <c r="F92" s="772">
        <v>1.0900000000000001</v>
      </c>
      <c r="G92" s="676"/>
      <c r="H92" s="676"/>
      <c r="I92" s="676"/>
      <c r="J92" s="676"/>
      <c r="K92" s="374"/>
      <c r="L92" s="647"/>
      <c r="M92" s="647"/>
      <c r="N92" s="666"/>
    </row>
    <row r="93" spans="2:14" x14ac:dyDescent="0.2">
      <c r="B93" s="675"/>
      <c r="C93" s="45"/>
      <c r="D93" s="45"/>
      <c r="E93" s="773" t="s">
        <v>1205</v>
      </c>
      <c r="F93" s="774">
        <f>F91*0.42+F92*0.58</f>
        <v>1.1992</v>
      </c>
      <c r="G93" s="676"/>
      <c r="H93" s="676"/>
      <c r="I93" s="676"/>
      <c r="J93" s="676"/>
      <c r="K93" s="374"/>
      <c r="L93" s="647"/>
      <c r="M93" s="647"/>
      <c r="N93" s="666"/>
    </row>
    <row r="94" spans="2:14" x14ac:dyDescent="0.2">
      <c r="B94" s="675"/>
      <c r="C94" s="45"/>
      <c r="D94" s="45"/>
      <c r="E94" s="64" t="s">
        <v>1206</v>
      </c>
      <c r="F94" s="445"/>
      <c r="G94" s="676"/>
      <c r="H94" s="676"/>
      <c r="I94" s="676"/>
      <c r="J94" s="676"/>
      <c r="K94" s="374"/>
      <c r="L94" s="647"/>
      <c r="M94" s="647"/>
      <c r="N94" s="666"/>
    </row>
    <row r="95" spans="2:14" x14ac:dyDescent="0.2">
      <c r="B95" s="88"/>
      <c r="C95" s="89"/>
      <c r="D95" s="89"/>
      <c r="E95" s="89"/>
      <c r="F95" s="89"/>
      <c r="G95" s="89"/>
      <c r="H95" s="89"/>
      <c r="I95" s="89"/>
      <c r="J95" s="89"/>
      <c r="K95" s="89"/>
      <c r="L95" s="89"/>
      <c r="M95" s="89"/>
      <c r="N95" s="90"/>
    </row>
  </sheetData>
  <mergeCells count="46">
    <mergeCell ref="B32:J32"/>
    <mergeCell ref="B24:J24"/>
    <mergeCell ref="B88:J88"/>
    <mergeCell ref="B79:J79"/>
    <mergeCell ref="B87:N87"/>
    <mergeCell ref="B76:N76"/>
    <mergeCell ref="B77:N77"/>
    <mergeCell ref="B78:J78"/>
    <mergeCell ref="B80:J80"/>
    <mergeCell ref="B81:J81"/>
    <mergeCell ref="D65:D71"/>
    <mergeCell ref="C64:C73"/>
    <mergeCell ref="B28:J28"/>
    <mergeCell ref="B27:J27"/>
    <mergeCell ref="B26:J26"/>
    <mergeCell ref="B31:J31"/>
    <mergeCell ref="B29:J29"/>
    <mergeCell ref="B1:N1"/>
    <mergeCell ref="B2:N2"/>
    <mergeCell ref="B3:N3"/>
    <mergeCell ref="B4:N4"/>
    <mergeCell ref="B5:N5"/>
    <mergeCell ref="B22:J22"/>
    <mergeCell ref="B15:J15"/>
    <mergeCell ref="B23:J23"/>
    <mergeCell ref="B16:J16"/>
    <mergeCell ref="B20:J20"/>
    <mergeCell ref="B21:J21"/>
    <mergeCell ref="B18:J18"/>
    <mergeCell ref="B17:J17"/>
    <mergeCell ref="D50:D57"/>
    <mergeCell ref="B19:J19"/>
    <mergeCell ref="B7:J7"/>
    <mergeCell ref="B6:J6"/>
    <mergeCell ref="B9:J9"/>
    <mergeCell ref="B11:J11"/>
    <mergeCell ref="B13:J13"/>
    <mergeCell ref="B12:J12"/>
    <mergeCell ref="B8:J8"/>
    <mergeCell ref="B10:J10"/>
    <mergeCell ref="D37:D44"/>
    <mergeCell ref="D45:D48"/>
    <mergeCell ref="B25:J25"/>
    <mergeCell ref="B30:J30"/>
    <mergeCell ref="B14:J14"/>
    <mergeCell ref="C36:C58"/>
  </mergeCells>
  <phoneticPr fontId="74" type="noConversion"/>
  <hyperlinks>
    <hyperlink ref="K10" r:id="rId1" location="/?f=A" xr:uid="{4EAE7B52-F9DD-413F-802A-875E6FD4311B}"/>
    <hyperlink ref="K25" r:id="rId2" xr:uid="{EEEC3E22-62FD-458C-ABE0-E42592529A60}"/>
    <hyperlink ref="K29" r:id="rId3" xr:uid="{8CA89EA1-C412-4A4D-94DA-C9E00094B1DD}"/>
    <hyperlink ref="K28" r:id="rId4" xr:uid="{5B1C2B81-237B-47C9-B61A-8910D63D87BE}"/>
    <hyperlink ref="K27" r:id="rId5" xr:uid="{429A5A22-205F-41FB-B595-951B85C0A9C9}"/>
    <hyperlink ref="K26" r:id="rId6" xr:uid="{ED43A659-78BF-41A8-84C8-27D6FB877533}"/>
    <hyperlink ref="K15" r:id="rId7" location="/?f=A" xr:uid="{E2864D2F-04DE-4823-ACAC-5F09C4D1E527}"/>
    <hyperlink ref="K14" r:id="rId8" xr:uid="{4A411C79-8C98-498B-AC43-64CAFC059BBC}"/>
    <hyperlink ref="K13" r:id="rId9" location="/?f=A" xr:uid="{0AA08974-C045-4AD7-9901-B3B4DF355277}"/>
    <hyperlink ref="K12" r:id="rId10" location="/?f=A" xr:uid="{0CBFDF27-0A5D-469B-9EE8-AB55F12729DC}"/>
    <hyperlink ref="K23" r:id="rId11" location="/?f=A" xr:uid="{051AF437-E24B-459A-BA60-10D273606D4D}"/>
    <hyperlink ref="K31" r:id="rId12" xr:uid="{BE304127-4949-4705-82C1-BA73691CF270}"/>
    <hyperlink ref="K7" r:id="rId13" location="/?f=A" xr:uid="{962D637C-0499-44B0-8503-F943E64CDF4D}"/>
    <hyperlink ref="K6" r:id="rId14" location="/?f=A" xr:uid="{ED9E4881-580C-49A9-9C6F-2C10ABF59041}"/>
    <hyperlink ref="K22" r:id="rId15" location="/?f=A" xr:uid="{5F967FF9-B942-4797-A0D3-B6E2B1D23E7C}"/>
    <hyperlink ref="K24" r:id="rId16" location="/?f=A" xr:uid="{DC56C4B4-8C44-4785-BF79-A00F99860EFB}"/>
    <hyperlink ref="K9" r:id="rId17" location="/?f=A" xr:uid="{FD022FC5-D611-460B-A7B9-FF5D2FBA9A53}"/>
    <hyperlink ref="K11" r:id="rId18" location="/?f=A" xr:uid="{78630A24-35E7-47EA-9117-5AEF874727BD}"/>
    <hyperlink ref="K8" r:id="rId19" location="/?f=A" xr:uid="{9ADACFE2-7998-44A5-B681-82FC3E382D07}"/>
    <hyperlink ref="K19" r:id="rId20" location="/?f=A" xr:uid="{BBDAC682-8557-4DA2-B096-23461FDDA427}"/>
    <hyperlink ref="K16" r:id="rId21" location="/?f=A" xr:uid="{C81A10D0-5FB4-4AEA-A6C9-6EC2697386D6}"/>
    <hyperlink ref="K20" r:id="rId22" location="/?f=A" xr:uid="{579E4655-1771-4316-A46E-A79A2B0CBC14}"/>
    <hyperlink ref="K21" r:id="rId23" location="/?f=A" xr:uid="{10852AA8-736C-4A42-8FC1-B6559232040F}"/>
    <hyperlink ref="K18" r:id="rId24" location="/?f=A" xr:uid="{CAC93D39-7FB1-44BC-86B6-6A7D9661A08C}"/>
    <hyperlink ref="K17" r:id="rId25" location="/?f=A" xr:uid="{9DEFCC4B-4426-4E96-B6E9-77EE60B54375}"/>
    <hyperlink ref="K78" r:id="rId26" location="/?f=A" xr:uid="{4FA5D3FD-1B4A-418F-B59C-4560CEAEA804}"/>
    <hyperlink ref="K80" r:id="rId27" location="/?f=A" xr:uid="{08D4A8ED-2FDB-498B-A580-2CD724FA1641}"/>
    <hyperlink ref="K81" r:id="rId28" location="/?f=A" xr:uid="{0DB0604D-85CC-4B29-BD7B-93C218DBDA40}"/>
    <hyperlink ref="K79" r:id="rId29" location="/?f=A" xr:uid="{C60D8731-0559-41D9-B654-0C350737C2CA}"/>
    <hyperlink ref="K88" r:id="rId30" xr:uid="{5796DD1E-1CB0-4505-BA10-B33C5DFF07B2}"/>
    <hyperlink ref="K30" r:id="rId31" xr:uid="{173CBA4F-0D5B-4AD4-87EE-0A77153B887F}"/>
    <hyperlink ref="K32" r:id="rId32" xr:uid="{9C25A1CD-454B-4715-BAC4-FA4EBE66A040}"/>
  </hyperlinks>
  <pageMargins left="0.7" right="0.7" top="0.75" bottom="0.75" header="0.3" footer="0.3"/>
  <pageSetup orientation="portrait" r:id="rId33"/>
  <drawing r:id="rId34"/>
  <legacyDrawing r:id="rId3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0636-D6D9-4220-AA4E-958E3D429033}">
  <sheetPr>
    <tabColor rgb="FF7030A0"/>
  </sheetPr>
  <dimension ref="A1:T110"/>
  <sheetViews>
    <sheetView showGridLines="0" workbookViewId="0">
      <selection activeCell="G32" sqref="G32"/>
    </sheetView>
  </sheetViews>
  <sheetFormatPr baseColWidth="10" defaultColWidth="8.83203125" defaultRowHeight="15" x14ac:dyDescent="0.2"/>
  <cols>
    <col min="1" max="1" width="2.6640625" customWidth="1"/>
    <col min="2" max="2" width="15.6640625" customWidth="1"/>
    <col min="3" max="3" width="18.5" customWidth="1"/>
    <col min="4" max="4" width="15.6640625" customWidth="1"/>
    <col min="5" max="5" width="31.5" customWidth="1"/>
    <col min="6" max="6" width="17.6640625" customWidth="1"/>
    <col min="7" max="15" width="15.6640625" customWidth="1"/>
    <col min="16" max="16" width="3" customWidth="1"/>
    <col min="20" max="20" width="28.33203125" customWidth="1"/>
  </cols>
  <sheetData>
    <row r="1" spans="1:20" ht="15.75" customHeight="1" x14ac:dyDescent="0.2">
      <c r="A1" s="5"/>
      <c r="B1" s="1159" t="s">
        <v>0</v>
      </c>
      <c r="C1" s="1159"/>
      <c r="D1" s="1159"/>
      <c r="E1" s="1159"/>
      <c r="F1" s="1159"/>
      <c r="G1" s="1159"/>
      <c r="H1" s="1159"/>
      <c r="I1" s="1159"/>
      <c r="J1" s="1159"/>
      <c r="K1" s="1159"/>
      <c r="L1" s="1159"/>
      <c r="M1" s="1159"/>
      <c r="N1" s="645"/>
      <c r="O1" s="665"/>
      <c r="P1" s="5"/>
    </row>
    <row r="2" spans="1:20" ht="21" customHeight="1" x14ac:dyDescent="0.2">
      <c r="A2" s="5"/>
      <c r="B2" s="1161" t="s">
        <v>1</v>
      </c>
      <c r="C2" s="1161"/>
      <c r="D2" s="1161"/>
      <c r="E2" s="1161"/>
      <c r="F2" s="1161"/>
      <c r="G2" s="1161"/>
      <c r="H2" s="1161"/>
      <c r="I2" s="1161"/>
      <c r="J2" s="1161"/>
      <c r="K2" s="1161"/>
      <c r="L2" s="1161"/>
      <c r="M2" s="1161"/>
      <c r="N2" s="440"/>
      <c r="O2" s="1084"/>
      <c r="P2" s="5"/>
    </row>
    <row r="3" spans="1:20" ht="18" x14ac:dyDescent="0.2">
      <c r="A3" s="5"/>
      <c r="B3" s="1163" t="s">
        <v>1207</v>
      </c>
      <c r="C3" s="1163"/>
      <c r="D3" s="1163"/>
      <c r="E3" s="1163"/>
      <c r="F3" s="1163"/>
      <c r="G3" s="1163"/>
      <c r="H3" s="1163"/>
      <c r="I3" s="1163"/>
      <c r="J3" s="1163"/>
      <c r="K3" s="1163"/>
      <c r="L3" s="1163"/>
      <c r="M3" s="1163"/>
      <c r="N3" s="644"/>
      <c r="O3" s="648"/>
      <c r="P3" s="5"/>
    </row>
    <row r="4" spans="1:20" ht="16" x14ac:dyDescent="0.2">
      <c r="A4" s="133"/>
      <c r="B4" s="1551" t="s">
        <v>1208</v>
      </c>
      <c r="C4" s="1551"/>
      <c r="D4" s="1551"/>
      <c r="E4" s="1551"/>
      <c r="F4" s="1551"/>
      <c r="G4" s="1551"/>
      <c r="H4" s="1551"/>
      <c r="I4" s="1551"/>
      <c r="J4" s="1551"/>
      <c r="K4" s="1551"/>
      <c r="L4" s="1551"/>
      <c r="M4" s="1551"/>
      <c r="N4" s="976"/>
      <c r="O4" s="977"/>
      <c r="P4" s="133"/>
    </row>
    <row r="5" spans="1:20" ht="29.25" customHeight="1" x14ac:dyDescent="0.2">
      <c r="B5" s="1188" t="s">
        <v>1209</v>
      </c>
      <c r="C5" s="1188"/>
      <c r="D5" s="1188"/>
      <c r="E5" s="1188"/>
      <c r="F5" s="1188"/>
      <c r="G5" s="1188"/>
      <c r="H5" s="1188"/>
      <c r="I5" s="1188"/>
      <c r="J5" s="1188"/>
      <c r="K5" s="1188"/>
      <c r="L5" s="1188"/>
      <c r="M5" s="1188"/>
      <c r="N5" s="1188"/>
      <c r="O5" s="12"/>
    </row>
    <row r="6" spans="1:20" x14ac:dyDescent="0.2">
      <c r="B6" s="84"/>
      <c r="C6" s="676"/>
      <c r="D6" s="676"/>
      <c r="E6" s="676"/>
      <c r="F6" s="676"/>
      <c r="G6" s="676"/>
      <c r="H6" s="676"/>
      <c r="I6" s="374"/>
      <c r="J6" s="374"/>
      <c r="K6" s="374"/>
      <c r="L6" s="374"/>
      <c r="M6" s="437"/>
      <c r="N6" s="374"/>
      <c r="O6" s="375"/>
    </row>
    <row r="7" spans="1:20" ht="72" thickBot="1" x14ac:dyDescent="0.25">
      <c r="B7" s="84"/>
      <c r="C7" s="124" t="s">
        <v>1021</v>
      </c>
      <c r="D7" s="124" t="s">
        <v>1022</v>
      </c>
      <c r="E7" s="124" t="s">
        <v>403</v>
      </c>
      <c r="F7" s="181" t="s">
        <v>1210</v>
      </c>
      <c r="G7" s="181" t="s">
        <v>1116</v>
      </c>
      <c r="H7" s="181" t="s">
        <v>1117</v>
      </c>
      <c r="I7" s="181" t="s">
        <v>1118</v>
      </c>
      <c r="J7" s="181" t="s">
        <v>1211</v>
      </c>
      <c r="K7" s="201" t="s">
        <v>1212</v>
      </c>
      <c r="L7" s="788"/>
      <c r="M7" s="434"/>
      <c r="N7" s="434"/>
      <c r="O7" s="447"/>
    </row>
    <row r="8" spans="1:20" ht="32" x14ac:dyDescent="0.2">
      <c r="B8" s="84"/>
      <c r="C8" s="1548" t="s">
        <v>1030</v>
      </c>
      <c r="D8" s="165" t="s">
        <v>343</v>
      </c>
      <c r="E8" s="124" t="s">
        <v>343</v>
      </c>
      <c r="F8" s="763">
        <f>'EIA Ref Tables'!G84</f>
        <v>2.8593557566531782</v>
      </c>
      <c r="G8" s="428" t="str">
        <f>'EIA Ref Tables'!G36</f>
        <v>kWh</v>
      </c>
      <c r="H8" s="446">
        <f>'EIA Ref Tables'!H36</f>
        <v>3.4119999999999997E-3</v>
      </c>
      <c r="I8" s="820">
        <f>'EIA Ref Tables'!I36</f>
        <v>7.1800000000000003E-2</v>
      </c>
      <c r="J8" s="765">
        <f>IF(ISNUMBER(I8),I8/H8,"n/a")</f>
        <v>21.043376318874564</v>
      </c>
      <c r="K8" s="786">
        <f>GM_Output</f>
        <v>108.5873463079036</v>
      </c>
      <c r="L8" s="788"/>
      <c r="M8" s="434"/>
      <c r="N8" s="434"/>
      <c r="O8" s="448"/>
      <c r="T8" s="839" t="s">
        <v>1213</v>
      </c>
    </row>
    <row r="9" spans="1:20" ht="32" x14ac:dyDescent="0.2">
      <c r="B9" s="84"/>
      <c r="C9" s="1548"/>
      <c r="D9" s="1559" t="s">
        <v>344</v>
      </c>
      <c r="E9" s="124" t="s">
        <v>1125</v>
      </c>
      <c r="F9" s="763">
        <v>1</v>
      </c>
      <c r="G9" s="428" t="str">
        <f>'EIA Ref Tables'!G37</f>
        <v>gallons</v>
      </c>
      <c r="H9" s="446">
        <f>'EIA Ref Tables'!H37</f>
        <v>0.158</v>
      </c>
      <c r="I9" s="765">
        <f>'EIA Ref Tables'!I37</f>
        <v>1.7594372294372296</v>
      </c>
      <c r="J9" s="765">
        <f t="shared" ref="J9:J23" si="0">IF(ISNUMBER(I9),I9/H9,"n/a")</f>
        <v>11.135678667324237</v>
      </c>
      <c r="K9" s="786">
        <f>'GWP Ref Tables'!J19</f>
        <v>188.27760480000001</v>
      </c>
      <c r="L9" s="788"/>
      <c r="M9" s="434"/>
      <c r="N9" s="434"/>
      <c r="O9" s="448"/>
      <c r="T9" s="840" t="s">
        <v>1214</v>
      </c>
    </row>
    <row r="10" spans="1:20" ht="33" thickBot="1" x14ac:dyDescent="0.25">
      <c r="B10" s="84"/>
      <c r="C10" s="1548"/>
      <c r="D10" s="1559"/>
      <c r="E10" s="124" t="s">
        <v>345</v>
      </c>
      <c r="F10" s="763">
        <v>1</v>
      </c>
      <c r="G10" s="428" t="str">
        <f>'EIA Ref Tables'!G38</f>
        <v>gallons</v>
      </c>
      <c r="H10" s="446">
        <f>'EIA Ref Tables'!H38</f>
        <v>0.13738095238095238</v>
      </c>
      <c r="I10" s="765">
        <f>'EIA Ref Tables'!I38</f>
        <v>2.52</v>
      </c>
      <c r="J10" s="765">
        <f t="shared" si="0"/>
        <v>18.343154246100521</v>
      </c>
      <c r="K10" s="786">
        <f>'GWP Ref Tables'!J20</f>
        <v>172.92600480000002</v>
      </c>
      <c r="L10" s="788"/>
      <c r="M10" s="434"/>
      <c r="N10" s="434"/>
      <c r="O10" s="448"/>
      <c r="T10" s="841" t="s">
        <v>1215</v>
      </c>
    </row>
    <row r="11" spans="1:20" x14ac:dyDescent="0.2">
      <c r="B11" s="84"/>
      <c r="C11" s="1548"/>
      <c r="D11" s="1559"/>
      <c r="E11" s="124" t="s">
        <v>355</v>
      </c>
      <c r="F11" s="763">
        <v>1</v>
      </c>
      <c r="G11" s="428" t="str">
        <f>'EIA Ref Tables'!G39</f>
        <v>gallons</v>
      </c>
      <c r="H11" s="446">
        <f>'EIA Ref Tables'!H39</f>
        <v>8.0214285714285724E-2</v>
      </c>
      <c r="I11" s="765">
        <f>'EIA Ref Tables'!I39</f>
        <v>0.98</v>
      </c>
      <c r="J11" s="765">
        <f t="shared" si="0"/>
        <v>12.21727515583259</v>
      </c>
      <c r="K11" s="786">
        <f>'GWP Ref Tables'!J21</f>
        <v>146.89690179999999</v>
      </c>
      <c r="L11" s="788"/>
      <c r="M11" s="434"/>
      <c r="N11" s="434"/>
      <c r="O11" s="448"/>
    </row>
    <row r="12" spans="1:20" x14ac:dyDescent="0.2">
      <c r="B12" s="84"/>
      <c r="C12" s="1548"/>
      <c r="D12" s="1559"/>
      <c r="E12" s="124" t="s">
        <v>1035</v>
      </c>
      <c r="F12" s="763">
        <v>1</v>
      </c>
      <c r="G12" s="428" t="str">
        <f>'EIA Ref Tables'!G40</f>
        <v>gallons</v>
      </c>
      <c r="H12" s="446">
        <f>'EIA Ref Tables'!H40</f>
        <v>0.13500000000000001</v>
      </c>
      <c r="I12" s="765">
        <f>'EIA Ref Tables'!I40</f>
        <v>2.13</v>
      </c>
      <c r="J12" s="765">
        <f t="shared" si="0"/>
        <v>15.777777777777777</v>
      </c>
      <c r="K12" s="786">
        <f>'GWP Ref Tables'!J22</f>
        <v>167.80880479999999</v>
      </c>
      <c r="L12" s="788"/>
      <c r="M12" s="434"/>
      <c r="N12" s="434"/>
      <c r="O12" s="448"/>
    </row>
    <row r="13" spans="1:20" x14ac:dyDescent="0.2">
      <c r="B13" s="84"/>
      <c r="C13" s="1548"/>
      <c r="D13" s="1559"/>
      <c r="E13" s="124" t="s">
        <v>413</v>
      </c>
      <c r="F13" s="763">
        <v>1</v>
      </c>
      <c r="G13" s="428" t="str">
        <f>'EIA Ref Tables'!G41</f>
        <v>gallons</v>
      </c>
      <c r="H13" s="446">
        <f>'EIA Ref Tables'!H41</f>
        <v>0.12023809523809523</v>
      </c>
      <c r="I13" s="765">
        <f>'EIA Ref Tables'!I41</f>
        <v>2.59</v>
      </c>
      <c r="J13" s="765">
        <f t="shared" si="0"/>
        <v>21.54059405940594</v>
      </c>
      <c r="K13" s="786">
        <f>'GWP Ref Tables'!J23</f>
        <v>161.7612048</v>
      </c>
      <c r="L13" s="788"/>
      <c r="M13" s="434"/>
      <c r="N13" s="434"/>
      <c r="O13" s="448"/>
    </row>
    <row r="14" spans="1:20" x14ac:dyDescent="0.2">
      <c r="B14" s="84"/>
      <c r="C14" s="1548"/>
      <c r="D14" s="1559"/>
      <c r="E14" s="124" t="s">
        <v>357</v>
      </c>
      <c r="F14" s="763">
        <v>1</v>
      </c>
      <c r="G14" s="428" t="str">
        <f>'EIA Ref Tables'!G42</f>
        <v>gallons</v>
      </c>
      <c r="H14" s="446">
        <f>'EIA Ref Tables'!H42</f>
        <v>0.14607142857142857</v>
      </c>
      <c r="I14" s="765">
        <f>'EIA Ref Tables'!I42</f>
        <v>0.63</v>
      </c>
      <c r="J14" s="765">
        <f t="shared" si="0"/>
        <v>4.3129584352078236</v>
      </c>
      <c r="K14" s="786">
        <f>'GWP Ref Tables'!J24</f>
        <v>227.3544048</v>
      </c>
      <c r="L14" s="788"/>
      <c r="M14" s="434"/>
      <c r="N14" s="434"/>
      <c r="O14" s="448"/>
    </row>
    <row r="15" spans="1:20" x14ac:dyDescent="0.2">
      <c r="B15" s="84"/>
      <c r="C15" s="1548"/>
      <c r="D15" s="1559"/>
      <c r="E15" s="124" t="s">
        <v>1036</v>
      </c>
      <c r="F15" s="763">
        <v>1</v>
      </c>
      <c r="G15" s="428" t="str">
        <f>'EIA Ref Tables'!G43</f>
        <v>gallons</v>
      </c>
      <c r="H15" s="446">
        <f>'EIA Ref Tables'!H43</f>
        <v>0.14969047619047618</v>
      </c>
      <c r="I15" s="765">
        <f>'EIA Ref Tables'!I43</f>
        <v>1.72</v>
      </c>
      <c r="J15" s="765">
        <f t="shared" si="0"/>
        <v>11.490376968347384</v>
      </c>
      <c r="K15" s="786">
        <f>'GWP Ref Tables'!J25</f>
        <v>180.6018048</v>
      </c>
      <c r="L15" s="788"/>
      <c r="M15" s="434"/>
      <c r="N15" s="434"/>
      <c r="O15" s="448"/>
    </row>
    <row r="16" spans="1:20" x14ac:dyDescent="0.2">
      <c r="B16" s="84"/>
      <c r="C16" s="1548"/>
      <c r="D16" s="1559"/>
      <c r="E16" s="124" t="s">
        <v>1037</v>
      </c>
      <c r="F16" s="763">
        <v>1</v>
      </c>
      <c r="G16" s="428" t="str">
        <f>'EIA Ref Tables'!G44</f>
        <v>gallons</v>
      </c>
      <c r="H16" s="446">
        <f>'EIA Ref Tables'!H44</f>
        <v>0.1386904761904762</v>
      </c>
      <c r="I16" s="765">
        <f>AVERAGE(I8:I15)</f>
        <v>1.550154653679654</v>
      </c>
      <c r="J16" s="765">
        <f t="shared" si="0"/>
        <v>11.177080764728835</v>
      </c>
      <c r="K16" s="786">
        <f>'GWP Ref Tables'!J26</f>
        <v>171.0652048</v>
      </c>
      <c r="L16" s="788"/>
      <c r="M16" s="434"/>
      <c r="N16" s="434"/>
      <c r="O16" s="448"/>
    </row>
    <row r="17" spans="2:15" x14ac:dyDescent="0.2">
      <c r="B17" s="84"/>
      <c r="C17" s="1548"/>
      <c r="D17" s="1559" t="s">
        <v>346</v>
      </c>
      <c r="E17" s="124" t="s">
        <v>415</v>
      </c>
      <c r="F17" s="763">
        <v>1</v>
      </c>
      <c r="G17" s="428" t="str">
        <f>'EIA Ref Tables'!G45</f>
        <v>short tons</v>
      </c>
      <c r="H17" s="446">
        <f>'EIA Ref Tables'!H45</f>
        <v>28.666</v>
      </c>
      <c r="I17" s="790">
        <f>'EIA Ref Tables'!I45</f>
        <v>219.62</v>
      </c>
      <c r="J17" s="765">
        <f t="shared" si="0"/>
        <v>7.6613409614177073</v>
      </c>
      <c r="K17" s="786">
        <f>'GWP Ref Tables'!J27</f>
        <v>250.46251699999999</v>
      </c>
      <c r="L17" s="788"/>
      <c r="M17" s="434"/>
      <c r="N17" s="434"/>
      <c r="O17" s="448"/>
    </row>
    <row r="18" spans="2:15" x14ac:dyDescent="0.2">
      <c r="B18" s="84"/>
      <c r="C18" s="1548"/>
      <c r="D18" s="1559"/>
      <c r="E18" s="124" t="s">
        <v>1139</v>
      </c>
      <c r="F18" s="763">
        <v>1</v>
      </c>
      <c r="G18" s="428" t="str">
        <f>'EIA Ref Tables'!G46</f>
        <v>short tons</v>
      </c>
      <c r="H18" s="446">
        <f>'EIA Ref Tables'!H46</f>
        <v>20.577999999999999</v>
      </c>
      <c r="I18" s="790">
        <f>'EIA Ref Tables'!I46</f>
        <v>96.15</v>
      </c>
      <c r="J18" s="765">
        <f t="shared" si="0"/>
        <v>4.6724657401107983</v>
      </c>
      <c r="K18" s="786">
        <f>'GWP Ref Tables'!J28</f>
        <v>221.18050299999999</v>
      </c>
      <c r="L18" s="788"/>
      <c r="M18" s="434"/>
      <c r="N18" s="434"/>
      <c r="O18" s="448"/>
    </row>
    <row r="19" spans="2:15" x14ac:dyDescent="0.2">
      <c r="B19" s="84"/>
      <c r="C19" s="1548"/>
      <c r="D19" s="1559"/>
      <c r="E19" s="124" t="s">
        <v>347</v>
      </c>
      <c r="F19" s="763">
        <v>1</v>
      </c>
      <c r="G19" s="428" t="str">
        <f>'EIA Ref Tables'!G47</f>
        <v>short tons</v>
      </c>
      <c r="H19" s="446">
        <f>'EIA Ref Tables'!H47</f>
        <v>20.577999999999999</v>
      </c>
      <c r="I19" s="790">
        <f>'EIA Ref Tables'!I47</f>
        <v>135.66</v>
      </c>
      <c r="J19" s="765">
        <f t="shared" si="0"/>
        <v>6.5924774030518032</v>
      </c>
      <c r="K19" s="786">
        <f>'GWP Ref Tables'!J29</f>
        <v>229.78670299999999</v>
      </c>
      <c r="L19" s="788"/>
      <c r="M19" s="434"/>
      <c r="N19" s="434"/>
      <c r="O19" s="448"/>
    </row>
    <row r="20" spans="2:15" x14ac:dyDescent="0.2">
      <c r="B20" s="84"/>
      <c r="C20" s="1548"/>
      <c r="D20" s="1559"/>
      <c r="E20" s="124" t="s">
        <v>1040</v>
      </c>
      <c r="F20" s="763">
        <v>1</v>
      </c>
      <c r="G20" s="428" t="str">
        <f>'EIA Ref Tables'!G48</f>
        <v>short tons</v>
      </c>
      <c r="H20" s="446">
        <f>'EIA Ref Tables'!H48</f>
        <v>20.577999999999999</v>
      </c>
      <c r="I20" s="790">
        <f>'EIA Ref Tables'!I48</f>
        <v>219.26</v>
      </c>
      <c r="J20" s="765">
        <f t="shared" si="0"/>
        <v>10.655068519778403</v>
      </c>
      <c r="K20" s="786">
        <f>'GWP Ref Tables'!J30</f>
        <v>236.066903</v>
      </c>
      <c r="L20" s="788"/>
      <c r="M20" s="434"/>
      <c r="N20" s="434"/>
      <c r="O20" s="448"/>
    </row>
    <row r="21" spans="2:15" x14ac:dyDescent="0.2">
      <c r="B21" s="84"/>
      <c r="C21" s="1548"/>
      <c r="D21" s="126" t="s">
        <v>348</v>
      </c>
      <c r="E21" s="124" t="s">
        <v>348</v>
      </c>
      <c r="F21" s="763">
        <v>1</v>
      </c>
      <c r="G21" s="428" t="str">
        <f>'EIA Ref Tables'!G49</f>
        <v>thousand cf</v>
      </c>
      <c r="H21" s="446">
        <f>'EIA Ref Tables'!H49</f>
        <v>1.0389999999999999</v>
      </c>
      <c r="I21" s="765">
        <f>'EIA Ref Tables'!I49</f>
        <v>6.02</v>
      </c>
      <c r="J21" s="765">
        <f t="shared" si="0"/>
        <v>5.7940327237728582</v>
      </c>
      <c r="K21" s="786">
        <f>'GWP Ref Tables'!J31</f>
        <v>130.61490180000001</v>
      </c>
      <c r="L21" s="788"/>
      <c r="M21" s="434"/>
      <c r="N21" s="434"/>
      <c r="O21" s="448"/>
    </row>
    <row r="22" spans="2:15" ht="15" customHeight="1" x14ac:dyDescent="0.2">
      <c r="B22" s="84"/>
      <c r="C22" s="1548"/>
      <c r="D22" s="1558" t="s">
        <v>562</v>
      </c>
      <c r="E22" s="181" t="s">
        <v>350</v>
      </c>
      <c r="F22" s="763">
        <v>1</v>
      </c>
      <c r="G22" s="428" t="str">
        <f>'EIA Ref Tables'!G50</f>
        <v>MMBtu</v>
      </c>
      <c r="H22" s="446">
        <f>'EIA Ref Tables'!H50</f>
        <v>1</v>
      </c>
      <c r="I22" s="765">
        <f>'EIA Ref Tables'!I50</f>
        <v>2.89</v>
      </c>
      <c r="J22" s="765">
        <f t="shared" si="0"/>
        <v>2.89</v>
      </c>
      <c r="K22" s="786">
        <f>'GWP Ref Tables'!J34</f>
        <v>264.93605200000002</v>
      </c>
      <c r="L22" s="788"/>
      <c r="M22" s="434"/>
      <c r="N22" s="434"/>
      <c r="O22" s="448"/>
    </row>
    <row r="23" spans="2:15" x14ac:dyDescent="0.2">
      <c r="B23" s="84"/>
      <c r="C23" s="1548"/>
      <c r="D23" s="1558"/>
      <c r="E23" s="124" t="s">
        <v>1150</v>
      </c>
      <c r="F23" s="763">
        <v>1</v>
      </c>
      <c r="G23" s="428" t="str">
        <f>'EIA Ref Tables'!G51</f>
        <v>MMBtu</v>
      </c>
      <c r="H23" s="446">
        <f>'EIA Ref Tables'!H51</f>
        <v>1</v>
      </c>
      <c r="I23" s="765">
        <f>'EIA Ref Tables'!I51</f>
        <v>3.07</v>
      </c>
      <c r="J23" s="765">
        <f t="shared" si="0"/>
        <v>3.07</v>
      </c>
      <c r="K23" s="786">
        <f>'GWP Ref Tables'!J32</f>
        <v>237.02405199999998</v>
      </c>
      <c r="L23" s="788"/>
      <c r="M23" s="434"/>
      <c r="N23" s="434"/>
      <c r="O23" s="448"/>
    </row>
    <row r="24" spans="2:15" x14ac:dyDescent="0.2">
      <c r="B24" s="84"/>
      <c r="C24" s="1548"/>
      <c r="D24" s="1558"/>
      <c r="E24" s="124" t="s">
        <v>1152</v>
      </c>
      <c r="F24" s="763">
        <v>1</v>
      </c>
      <c r="G24" s="428" t="str">
        <f>'EIA Ref Tables'!G52</f>
        <v>kWh</v>
      </c>
      <c r="H24" s="446">
        <f>'EIA Ref Tables'!H52</f>
        <v>3.4119999999999997E-3</v>
      </c>
      <c r="I24" s="765">
        <f>'EIA Ref Tables'!I52</f>
        <v>6.7000000000000004E-2</v>
      </c>
      <c r="J24" s="790">
        <v>0</v>
      </c>
      <c r="K24" s="786">
        <f>'GWP Ref Tables'!J35</f>
        <v>165.25020480000001</v>
      </c>
      <c r="L24" s="788"/>
      <c r="M24" s="434"/>
      <c r="N24" s="434"/>
      <c r="O24" s="448"/>
    </row>
    <row r="25" spans="2:15" x14ac:dyDescent="0.2">
      <c r="B25" s="84"/>
      <c r="C25" s="1548"/>
      <c r="D25" s="1558"/>
      <c r="E25" s="124" t="s">
        <v>1156</v>
      </c>
      <c r="F25" s="763">
        <v>1</v>
      </c>
      <c r="G25" s="428" t="str">
        <f>'EIA Ref Tables'!G53</f>
        <v>MMBtu</v>
      </c>
      <c r="H25" s="446">
        <f>'EIA Ref Tables'!H53</f>
        <v>1</v>
      </c>
      <c r="I25" s="765">
        <f>'EIA Ref Tables'!I53</f>
        <v>0</v>
      </c>
      <c r="J25" s="790">
        <f>IF(ISNUMBER(I25),I25/H25,"n/a")</f>
        <v>0</v>
      </c>
      <c r="K25" s="786">
        <f>'GWP Ref Tables'!J33</f>
        <v>337.04205200000001</v>
      </c>
      <c r="L25" s="788"/>
      <c r="M25" s="434"/>
      <c r="N25" s="434"/>
      <c r="O25" s="448"/>
    </row>
    <row r="26" spans="2:15" x14ac:dyDescent="0.2">
      <c r="B26" s="84"/>
      <c r="C26" s="1548"/>
      <c r="D26" s="1558"/>
      <c r="E26" s="193" t="s">
        <v>1159</v>
      </c>
      <c r="F26" s="763">
        <v>1</v>
      </c>
      <c r="G26" s="428" t="str">
        <f>'EIA Ref Tables'!G54</f>
        <v>MMBtu</v>
      </c>
      <c r="H26" s="446">
        <f>'EIA Ref Tables'!H54</f>
        <v>1</v>
      </c>
      <c r="I26" s="765">
        <f>'EIA Ref Tables'!I54</f>
        <v>14.067408000000002</v>
      </c>
      <c r="J26" s="790">
        <f t="shared" ref="J26:J30" si="1">IF(ISNUMBER(I26),I26/H26,"n/a")</f>
        <v>14.067408000000002</v>
      </c>
      <c r="K26" s="786">
        <f>'GWP Ref Tables'!H73</f>
        <v>15.5079072</v>
      </c>
      <c r="L26" s="788"/>
      <c r="M26" s="434"/>
      <c r="N26" s="434"/>
      <c r="O26" s="448"/>
    </row>
    <row r="27" spans="2:15" x14ac:dyDescent="0.2">
      <c r="B27" s="84"/>
      <c r="C27" s="1548"/>
      <c r="D27" s="1558"/>
      <c r="E27" s="193" t="s">
        <v>632</v>
      </c>
      <c r="F27" s="763">
        <v>1</v>
      </c>
      <c r="G27" s="428" t="str">
        <f>'EIA Ref Tables'!G55</f>
        <v>MMBtu</v>
      </c>
      <c r="H27" s="446">
        <f>'EIA Ref Tables'!H55</f>
        <v>1</v>
      </c>
      <c r="I27" s="765">
        <f>'EIA Ref Tables'!I55</f>
        <v>19.928828000000003</v>
      </c>
      <c r="J27" s="790">
        <f t="shared" si="1"/>
        <v>19.928828000000003</v>
      </c>
      <c r="K27" s="786">
        <f>'GWP Ref Tables'!H76</f>
        <v>24.554186399999999</v>
      </c>
      <c r="L27" s="788"/>
      <c r="M27" s="434"/>
      <c r="N27" s="434"/>
      <c r="O27" s="448"/>
    </row>
    <row r="28" spans="2:15" x14ac:dyDescent="0.2">
      <c r="B28" s="84"/>
      <c r="C28" s="1548"/>
      <c r="D28" s="1558"/>
      <c r="E28" s="193" t="s">
        <v>417</v>
      </c>
      <c r="F28" s="763">
        <v>1</v>
      </c>
      <c r="G28" s="428" t="str">
        <f>'EIA Ref Tables'!G56</f>
        <v>MMBtu</v>
      </c>
      <c r="H28" s="446">
        <f>'EIA Ref Tables'!H56</f>
        <v>1</v>
      </c>
      <c r="I28" s="765">
        <f>'EIA Ref Tables'!I56</f>
        <v>14.067408000000002</v>
      </c>
      <c r="J28" s="790">
        <f t="shared" si="1"/>
        <v>14.067408000000002</v>
      </c>
      <c r="K28" s="786">
        <f>'GWP Ref Tables'!H77</f>
        <v>31.0158144</v>
      </c>
      <c r="L28" s="788"/>
      <c r="M28" s="434"/>
      <c r="N28" s="434"/>
      <c r="O28" s="448"/>
    </row>
    <row r="29" spans="2:15" x14ac:dyDescent="0.2">
      <c r="B29" s="84"/>
      <c r="C29" s="1548"/>
      <c r="D29" s="1558"/>
      <c r="E29" s="193" t="s">
        <v>633</v>
      </c>
      <c r="F29" s="763">
        <v>1</v>
      </c>
      <c r="G29" s="428" t="str">
        <f>'EIA Ref Tables'!G57</f>
        <v>MMBtu</v>
      </c>
      <c r="H29" s="446">
        <f>'EIA Ref Tables'!H57</f>
        <v>1</v>
      </c>
      <c r="I29" s="765">
        <f>'EIA Ref Tables'!I57</f>
        <v>9.671343000000002</v>
      </c>
      <c r="J29" s="790">
        <f t="shared" si="1"/>
        <v>9.671343000000002</v>
      </c>
      <c r="K29" s="786">
        <f>'GWP Ref Tables'!H78</f>
        <v>7.1077907999999992</v>
      </c>
      <c r="L29" s="788"/>
      <c r="M29" s="434"/>
      <c r="N29" s="434"/>
      <c r="O29" s="448"/>
    </row>
    <row r="30" spans="2:15" x14ac:dyDescent="0.2">
      <c r="B30" s="84"/>
      <c r="C30" s="1548"/>
      <c r="D30" s="649" t="s">
        <v>351</v>
      </c>
      <c r="E30" s="429" t="s">
        <v>1216</v>
      </c>
      <c r="F30" s="764">
        <f>'EIA Ref Tables'!F93</f>
        <v>1.1992</v>
      </c>
      <c r="G30" s="428" t="str">
        <f>'EIA Ref Tables'!G58</f>
        <v>MMBtu</v>
      </c>
      <c r="H30" s="446">
        <f>'EIA Ref Tables'!H58</f>
        <v>1</v>
      </c>
      <c r="I30" s="765">
        <f>'EIA Ref Tables'!I58</f>
        <v>4.7</v>
      </c>
      <c r="J30" s="765">
        <f t="shared" si="1"/>
        <v>4.7</v>
      </c>
      <c r="K30" s="787">
        <f>'GWP Ref Tables'!J36</f>
        <v>146.39000687203793</v>
      </c>
      <c r="L30" s="788"/>
      <c r="M30" s="434"/>
      <c r="N30" s="434"/>
      <c r="O30" s="448"/>
    </row>
    <row r="31" spans="2:15" x14ac:dyDescent="0.2">
      <c r="B31" s="84"/>
      <c r="C31" s="659"/>
      <c r="D31" s="653"/>
      <c r="E31" s="385"/>
      <c r="F31" s="431"/>
      <c r="G31" s="431"/>
      <c r="H31" s="432"/>
      <c r="I31" s="170"/>
      <c r="J31" s="170"/>
      <c r="K31" s="170"/>
      <c r="L31" s="170"/>
      <c r="M31" s="433"/>
      <c r="N31" s="434"/>
      <c r="O31" s="448"/>
    </row>
    <row r="32" spans="2:15" x14ac:dyDescent="0.2">
      <c r="B32" s="84"/>
      <c r="C32" s="45"/>
      <c r="D32" s="45"/>
      <c r="E32" s="45"/>
      <c r="F32" s="45"/>
      <c r="G32" s="45"/>
      <c r="H32" s="45"/>
      <c r="I32" s="21"/>
      <c r="J32" s="45"/>
      <c r="K32" s="45"/>
      <c r="L32" s="45"/>
      <c r="M32" s="45"/>
      <c r="N32" s="45"/>
      <c r="O32" s="12"/>
    </row>
    <row r="33" spans="2:15" ht="71" x14ac:dyDescent="0.2">
      <c r="B33" s="84"/>
      <c r="C33" s="124" t="s">
        <v>1021</v>
      </c>
      <c r="D33" s="124" t="s">
        <v>1022</v>
      </c>
      <c r="E33" s="124" t="s">
        <v>403</v>
      </c>
      <c r="F33" s="181" t="s">
        <v>1210</v>
      </c>
      <c r="G33" s="181" t="s">
        <v>1116</v>
      </c>
      <c r="H33" s="181" t="s">
        <v>1117</v>
      </c>
      <c r="I33" s="181" t="s">
        <v>1118</v>
      </c>
      <c r="J33" s="181" t="s">
        <v>1211</v>
      </c>
      <c r="K33" s="181" t="s">
        <v>1212</v>
      </c>
      <c r="L33" s="434"/>
      <c r="M33" s="434"/>
      <c r="N33" s="434"/>
      <c r="O33" s="448"/>
    </row>
    <row r="34" spans="2:15" x14ac:dyDescent="0.2">
      <c r="B34" s="84"/>
      <c r="C34" s="1548" t="s">
        <v>113</v>
      </c>
      <c r="D34" s="442" t="s">
        <v>343</v>
      </c>
      <c r="E34" s="124" t="s">
        <v>343</v>
      </c>
      <c r="F34" s="766">
        <f>'EIA Ref Tables'!G85</f>
        <v>2.8593799075694353</v>
      </c>
      <c r="G34" s="376" t="str">
        <f>'EIA Ref Tables'!G64</f>
        <v>kWh</v>
      </c>
      <c r="H34" s="446">
        <f>'EIA Ref Tables'!H64</f>
        <v>3.4119999999999997E-3</v>
      </c>
      <c r="I34" s="765">
        <f>'EIA Ref Tables'!I64</f>
        <v>0.10199999999999999</v>
      </c>
      <c r="J34" s="765">
        <f>J8</f>
        <v>21.043376318874564</v>
      </c>
      <c r="K34" s="427">
        <f>GM_Output</f>
        <v>108.5873463079036</v>
      </c>
      <c r="L34" s="434"/>
      <c r="M34" s="434"/>
      <c r="N34" s="434"/>
      <c r="O34" s="448"/>
    </row>
    <row r="35" spans="2:15" x14ac:dyDescent="0.2">
      <c r="B35" s="84"/>
      <c r="C35" s="1548"/>
      <c r="D35" s="1559" t="s">
        <v>344</v>
      </c>
      <c r="E35" s="124" t="s">
        <v>1057</v>
      </c>
      <c r="F35" s="763">
        <v>1</v>
      </c>
      <c r="G35" s="376" t="str">
        <f>'EIA Ref Tables'!G65</f>
        <v>gallons</v>
      </c>
      <c r="H35" s="446">
        <f>'EIA Ref Tables'!H65</f>
        <v>0.12020476190476191</v>
      </c>
      <c r="I35" s="765">
        <f>'EIA Ref Tables'!I65</f>
        <v>3.4689999999999999</v>
      </c>
      <c r="J35" s="790">
        <f t="shared" ref="J35:J43" si="2">IF(ISNUMBER(I35),I35/H35,"n/a")</f>
        <v>28.859089648615456</v>
      </c>
      <c r="K35" s="427">
        <f>'GWP Ref Tables'!J47</f>
        <v>164.121397</v>
      </c>
      <c r="L35" s="434"/>
      <c r="M35" s="434"/>
      <c r="N35" s="434"/>
      <c r="O35" s="448"/>
    </row>
    <row r="36" spans="2:15" x14ac:dyDescent="0.2">
      <c r="B36" s="84"/>
      <c r="C36" s="1548"/>
      <c r="D36" s="1559"/>
      <c r="E36" s="124" t="s">
        <v>1217</v>
      </c>
      <c r="F36" s="763">
        <v>1</v>
      </c>
      <c r="G36" s="376" t="str">
        <f>'EIA Ref Tables'!G66</f>
        <v>gallons</v>
      </c>
      <c r="H36" s="446">
        <f>'EIA Ref Tables'!H66</f>
        <v>0.13738095238095238</v>
      </c>
      <c r="I36" s="765">
        <f>'EIA Ref Tables'!I66</f>
        <v>2.5510000000000002</v>
      </c>
      <c r="J36" s="790">
        <f t="shared" si="2"/>
        <v>18.56880415944541</v>
      </c>
      <c r="K36" s="427">
        <f>'GWP Ref Tables'!J44</f>
        <v>173.4270252</v>
      </c>
      <c r="L36" s="434"/>
      <c r="M36" s="434"/>
      <c r="N36" s="434"/>
      <c r="O36" s="448"/>
    </row>
    <row r="37" spans="2:15" x14ac:dyDescent="0.2">
      <c r="B37" s="84"/>
      <c r="C37" s="1548"/>
      <c r="D37" s="1559"/>
      <c r="E37" s="124" t="s">
        <v>1180</v>
      </c>
      <c r="F37" s="763">
        <v>1</v>
      </c>
      <c r="G37" s="376" t="str">
        <f>'EIA Ref Tables'!G67</f>
        <v>gallons</v>
      </c>
      <c r="H37" s="446">
        <f>'EIA Ref Tables'!H67</f>
        <v>9.1452380952380952E-2</v>
      </c>
      <c r="I37" s="765">
        <f>'EIA Ref Tables'!I67</f>
        <v>1.0880000000000001</v>
      </c>
      <c r="J37" s="790">
        <f t="shared" si="2"/>
        <v>11.89690184847696</v>
      </c>
      <c r="K37" s="427">
        <f>'GWP Ref Tables'!J45</f>
        <v>150.7913236</v>
      </c>
      <c r="L37" s="434"/>
      <c r="M37" s="434"/>
      <c r="N37" s="434"/>
      <c r="O37" s="448"/>
    </row>
    <row r="38" spans="2:15" x14ac:dyDescent="0.2">
      <c r="B38" s="84"/>
      <c r="C38" s="1548"/>
      <c r="D38" s="1559"/>
      <c r="E38" s="124" t="s">
        <v>1181</v>
      </c>
      <c r="F38" s="763">
        <v>1</v>
      </c>
      <c r="G38" s="376" t="str">
        <f>'EIA Ref Tables'!G68</f>
        <v>gallons</v>
      </c>
      <c r="H38" s="446">
        <f>'EIA Ref Tables'!H68</f>
        <v>0.1275</v>
      </c>
      <c r="I38" s="765">
        <f>'EIA Ref Tables'!I68</f>
        <v>1.954</v>
      </c>
      <c r="J38" s="790">
        <f t="shared" si="2"/>
        <v>15.32549019607843</v>
      </c>
      <c r="K38" s="427">
        <f>'GWP Ref Tables'!J48</f>
        <v>167.61039700000001</v>
      </c>
      <c r="L38" s="434"/>
      <c r="M38" s="434"/>
      <c r="N38" s="434"/>
      <c r="O38" s="448"/>
    </row>
    <row r="39" spans="2:15" x14ac:dyDescent="0.2">
      <c r="B39" s="84"/>
      <c r="C39" s="1548"/>
      <c r="D39" s="1559"/>
      <c r="E39" s="124" t="s">
        <v>413</v>
      </c>
      <c r="F39" s="763">
        <v>1</v>
      </c>
      <c r="G39" s="376" t="str">
        <f>'EIA Ref Tables'!G69</f>
        <v>gallons</v>
      </c>
      <c r="H39" s="446">
        <f>'EIA Ref Tables'!H69</f>
        <v>0.12028571428571427</v>
      </c>
      <c r="I39" s="765">
        <f>'EIA Ref Tables'!I69</f>
        <v>2.242</v>
      </c>
      <c r="J39" s="790">
        <f t="shared" si="2"/>
        <v>18.63895486935867</v>
      </c>
      <c r="K39" s="427">
        <f>'GWP Ref Tables'!J43</f>
        <v>165.29625960000001</v>
      </c>
      <c r="L39" s="434"/>
      <c r="M39" s="434"/>
      <c r="N39" s="434"/>
      <c r="O39" s="448"/>
    </row>
    <row r="40" spans="2:15" x14ac:dyDescent="0.2">
      <c r="B40" s="84"/>
      <c r="C40" s="1548"/>
      <c r="D40" s="1559"/>
      <c r="E40" s="124" t="s">
        <v>1036</v>
      </c>
      <c r="F40" s="763">
        <v>1</v>
      </c>
      <c r="G40" s="376" t="str">
        <f>'EIA Ref Tables'!G70</f>
        <v>gallons</v>
      </c>
      <c r="H40" s="446">
        <f>'EIA Ref Tables'!H70</f>
        <v>0.14969047619047618</v>
      </c>
      <c r="I40" s="765">
        <f>'EIA Ref Tables'!I70</f>
        <v>1.246</v>
      </c>
      <c r="J40" s="790">
        <f t="shared" si="2"/>
        <v>8.32384285032607</v>
      </c>
      <c r="K40" s="427">
        <f>K15</f>
        <v>180.6018048</v>
      </c>
      <c r="L40" s="434"/>
      <c r="M40" s="434"/>
      <c r="N40" s="434"/>
      <c r="O40" s="448"/>
    </row>
    <row r="41" spans="2:15" x14ac:dyDescent="0.2">
      <c r="B41" s="84"/>
      <c r="C41" s="1548"/>
      <c r="D41" s="1559"/>
      <c r="E41" s="124" t="s">
        <v>1037</v>
      </c>
      <c r="F41" s="763">
        <v>1</v>
      </c>
      <c r="G41" s="376" t="str">
        <f>'EIA Ref Tables'!G71</f>
        <v>gallons</v>
      </c>
      <c r="H41" s="446">
        <f>'EIA Ref Tables'!H71</f>
        <v>0.1386904761904762</v>
      </c>
      <c r="I41" s="765">
        <f>'EIA Ref Tables'!I71</f>
        <v>1.8074285714285714</v>
      </c>
      <c r="J41" s="765">
        <f t="shared" si="2"/>
        <v>13.032103004291844</v>
      </c>
      <c r="K41" s="427">
        <f>K16</f>
        <v>171.0652048</v>
      </c>
      <c r="L41" s="434"/>
      <c r="M41" s="434"/>
      <c r="N41" s="434"/>
      <c r="O41" s="448"/>
    </row>
    <row r="42" spans="2:15" x14ac:dyDescent="0.2">
      <c r="B42" s="84"/>
      <c r="C42" s="1548"/>
      <c r="D42" s="442" t="s">
        <v>348</v>
      </c>
      <c r="E42" s="124" t="s">
        <v>422</v>
      </c>
      <c r="F42" s="763">
        <v>1</v>
      </c>
      <c r="G42" s="376" t="str">
        <f>'EIA Ref Tables'!G72</f>
        <v>thousand cf</v>
      </c>
      <c r="H42" s="446">
        <f>'EIA Ref Tables'!H72</f>
        <v>1.0389999999999999</v>
      </c>
      <c r="I42" s="765">
        <f>'EIA Ref Tables'!I72</f>
        <v>6.02</v>
      </c>
      <c r="J42" s="790">
        <f t="shared" si="2"/>
        <v>5.7940327237728582</v>
      </c>
      <c r="K42" s="427">
        <f>'GWP Ref Tables'!J46</f>
        <v>138.171378</v>
      </c>
      <c r="L42" s="434"/>
      <c r="M42" s="434"/>
      <c r="N42" s="434"/>
      <c r="O42" s="448"/>
    </row>
    <row r="43" spans="2:15" x14ac:dyDescent="0.2">
      <c r="B43" s="84"/>
      <c r="C43" s="1548"/>
      <c r="D43" s="439" t="s">
        <v>423</v>
      </c>
      <c r="E43" s="124" t="s">
        <v>424</v>
      </c>
      <c r="F43" s="763">
        <v>1</v>
      </c>
      <c r="G43" s="376" t="str">
        <f>'EIA Ref Tables'!G73</f>
        <v>MMBtu</v>
      </c>
      <c r="H43" s="446">
        <f>'EIA Ref Tables'!H73</f>
        <v>1</v>
      </c>
      <c r="I43" s="765">
        <f>'EIA Ref Tables'!I73</f>
        <v>3.07</v>
      </c>
      <c r="J43" s="765">
        <f t="shared" si="2"/>
        <v>3.07</v>
      </c>
      <c r="K43" s="427">
        <f>K24</f>
        <v>165.25020480000001</v>
      </c>
      <c r="L43" s="434"/>
      <c r="M43" s="434"/>
      <c r="N43" s="434"/>
      <c r="O43" s="448"/>
    </row>
    <row r="44" spans="2:15" x14ac:dyDescent="0.2">
      <c r="B44" s="88"/>
      <c r="C44" s="89"/>
      <c r="D44" s="89"/>
      <c r="E44" s="89"/>
      <c r="F44" s="89"/>
      <c r="G44" s="89"/>
      <c r="H44" s="89"/>
      <c r="I44" s="89"/>
      <c r="J44" s="89"/>
      <c r="K44" s="89"/>
      <c r="L44" s="89"/>
      <c r="M44" s="89"/>
      <c r="N44" s="89"/>
      <c r="O44" s="90"/>
    </row>
    <row r="45" spans="2:15" x14ac:dyDescent="0.2">
      <c r="B45" s="48"/>
      <c r="O45" s="112"/>
    </row>
    <row r="46" spans="2:15" x14ac:dyDescent="0.2">
      <c r="B46" s="789"/>
      <c r="C46" s="944"/>
      <c r="D46" s="944"/>
      <c r="E46" s="944"/>
      <c r="F46" s="944"/>
      <c r="G46" s="944"/>
      <c r="H46" s="944"/>
      <c r="I46" s="944"/>
      <c r="J46" s="944"/>
      <c r="K46" s="944"/>
      <c r="L46" s="944"/>
      <c r="M46" s="944"/>
      <c r="N46" s="944"/>
      <c r="O46" s="1030"/>
    </row>
    <row r="47" spans="2:15" x14ac:dyDescent="0.2">
      <c r="B47" s="48"/>
      <c r="O47" s="112"/>
    </row>
    <row r="48" spans="2:15" ht="27" customHeight="1" x14ac:dyDescent="0.2">
      <c r="B48" s="48"/>
      <c r="C48" s="1571" t="s">
        <v>1218</v>
      </c>
      <c r="D48" s="1572"/>
      <c r="E48" s="1572"/>
      <c r="F48" s="1572"/>
      <c r="G48" s="1572"/>
      <c r="H48" s="1572"/>
      <c r="I48" s="1573"/>
      <c r="O48" s="112"/>
    </row>
    <row r="49" spans="2:15" x14ac:dyDescent="0.2">
      <c r="B49" s="48"/>
      <c r="C49" s="304"/>
      <c r="D49" s="24"/>
      <c r="E49" s="24"/>
      <c r="F49" s="24"/>
      <c r="G49" s="24"/>
      <c r="H49" s="24"/>
      <c r="I49" s="12"/>
      <c r="O49" s="112"/>
    </row>
    <row r="50" spans="2:15" x14ac:dyDescent="0.2">
      <c r="B50" s="48"/>
      <c r="C50" s="88"/>
      <c r="D50" s="89"/>
      <c r="E50" s="89"/>
      <c r="F50" s="89"/>
      <c r="G50" s="89"/>
      <c r="H50" s="89"/>
      <c r="I50" s="90"/>
      <c r="O50" s="112"/>
    </row>
    <row r="51" spans="2:15" ht="16" x14ac:dyDescent="0.2">
      <c r="B51" s="48"/>
      <c r="C51" s="692" t="s">
        <v>1219</v>
      </c>
      <c r="D51" s="707" t="s">
        <v>1220</v>
      </c>
      <c r="E51" s="693"/>
      <c r="F51" s="693"/>
      <c r="G51" s="693"/>
      <c r="H51" s="693"/>
      <c r="I51" s="12"/>
      <c r="O51" s="112"/>
    </row>
    <row r="52" spans="2:15" x14ac:dyDescent="0.2">
      <c r="B52" s="48"/>
      <c r="C52" s="304"/>
      <c r="D52" s="24"/>
      <c r="E52" s="24"/>
      <c r="F52" s="24"/>
      <c r="G52" s="24"/>
      <c r="H52" s="24"/>
      <c r="I52" s="12"/>
      <c r="O52" s="112"/>
    </row>
    <row r="53" spans="2:15" x14ac:dyDescent="0.2">
      <c r="B53" s="48"/>
      <c r="C53" s="675"/>
      <c r="D53" s="1383" t="s">
        <v>620</v>
      </c>
      <c r="E53" s="1384"/>
      <c r="F53" s="1385"/>
      <c r="G53" s="417" t="s">
        <v>621</v>
      </c>
      <c r="H53" s="45"/>
      <c r="I53" s="12"/>
      <c r="O53" s="112"/>
    </row>
    <row r="54" spans="2:15" x14ac:dyDescent="0.2">
      <c r="B54" s="48"/>
      <c r="C54" s="675"/>
      <c r="D54" s="1558" t="s">
        <v>624</v>
      </c>
      <c r="E54" s="1559" t="s">
        <v>625</v>
      </c>
      <c r="F54" s="124" t="s">
        <v>346</v>
      </c>
      <c r="G54" s="420">
        <f>'GWP Ref Tables'!G68</f>
        <v>0.2187093409966154</v>
      </c>
      <c r="H54" s="678"/>
      <c r="I54" s="12"/>
      <c r="O54" s="112"/>
    </row>
    <row r="55" spans="2:15" x14ac:dyDescent="0.2">
      <c r="B55" s="48"/>
      <c r="C55" s="675"/>
      <c r="D55" s="1563"/>
      <c r="E55" s="1567"/>
      <c r="F55" s="124" t="s">
        <v>344</v>
      </c>
      <c r="G55" s="420">
        <f>'GWP Ref Tables'!G69</f>
        <v>4.570879407585814E-3</v>
      </c>
      <c r="H55" s="45"/>
      <c r="I55" s="12"/>
      <c r="O55" s="112"/>
    </row>
    <row r="56" spans="2:15" x14ac:dyDescent="0.2">
      <c r="B56" s="48"/>
      <c r="C56" s="675"/>
      <c r="D56" s="1563"/>
      <c r="E56" s="1567"/>
      <c r="F56" s="124" t="s">
        <v>348</v>
      </c>
      <c r="G56" s="420">
        <f>'GWP Ref Tables'!G70</f>
        <v>0.38336008221171747</v>
      </c>
      <c r="H56" s="45"/>
      <c r="I56" s="12"/>
      <c r="O56" s="112"/>
    </row>
    <row r="57" spans="2:15" x14ac:dyDescent="0.2">
      <c r="B57" s="48"/>
      <c r="C57" s="675"/>
      <c r="D57" s="1563"/>
      <c r="E57" s="1568"/>
      <c r="F57" s="124" t="s">
        <v>626</v>
      </c>
      <c r="G57" s="420">
        <f>'GWP Ref Tables'!G71</f>
        <v>2.7459430184191102E-3</v>
      </c>
      <c r="H57" s="45"/>
      <c r="I57" s="12"/>
      <c r="O57" s="112"/>
    </row>
    <row r="58" spans="2:15" x14ac:dyDescent="0.2">
      <c r="B58" s="48"/>
      <c r="C58" s="675"/>
      <c r="D58" s="1563"/>
      <c r="E58" s="1559" t="s">
        <v>627</v>
      </c>
      <c r="F58" s="124" t="s">
        <v>628</v>
      </c>
      <c r="G58" s="420">
        <f>'GWP Ref Tables'!G72</f>
        <v>0.18937695407879895</v>
      </c>
      <c r="H58" s="45"/>
      <c r="I58" s="12"/>
      <c r="O58" s="112"/>
    </row>
    <row r="59" spans="2:15" x14ac:dyDescent="0.2">
      <c r="B59" s="48"/>
      <c r="C59" s="675"/>
      <c r="D59" s="1563"/>
      <c r="E59" s="1567"/>
      <c r="F59" s="124" t="s">
        <v>629</v>
      </c>
      <c r="G59" s="420">
        <f>'GWP Ref Tables'!G73</f>
        <v>6.333033618364256E-2</v>
      </c>
      <c r="H59" s="45"/>
      <c r="I59" s="12"/>
      <c r="O59" s="112"/>
    </row>
    <row r="60" spans="2:15" x14ac:dyDescent="0.2">
      <c r="B60" s="48"/>
      <c r="C60" s="675"/>
      <c r="D60" s="1563"/>
      <c r="E60" s="1567"/>
      <c r="F60" s="124" t="s">
        <v>630</v>
      </c>
      <c r="G60" s="420">
        <f>'GWP Ref Tables'!G74</f>
        <v>9.0460882885519782E-3</v>
      </c>
      <c r="H60" s="45"/>
      <c r="I60" s="12"/>
      <c r="O60" s="112"/>
    </row>
    <row r="61" spans="2:15" x14ac:dyDescent="0.2">
      <c r="B61" s="48"/>
      <c r="C61" s="675"/>
      <c r="D61" s="1563"/>
      <c r="E61" s="1567"/>
      <c r="F61" s="124" t="s">
        <v>631</v>
      </c>
      <c r="G61" s="420">
        <f>'GWP Ref Tables'!G75</f>
        <v>4.5765299192404227E-3</v>
      </c>
      <c r="H61" s="45"/>
      <c r="I61" s="12"/>
      <c r="O61" s="112"/>
    </row>
    <row r="62" spans="2:15" x14ac:dyDescent="0.2">
      <c r="B62" s="48"/>
      <c r="C62" s="675"/>
      <c r="D62" s="1563"/>
      <c r="E62" s="1567"/>
      <c r="F62" s="124" t="s">
        <v>632</v>
      </c>
      <c r="G62" s="420">
        <f>'GWP Ref Tables'!G76</f>
        <v>3.9517767589021726E-3</v>
      </c>
      <c r="H62" s="45"/>
      <c r="I62" s="12"/>
      <c r="O62" s="112"/>
    </row>
    <row r="63" spans="2:15" x14ac:dyDescent="0.2">
      <c r="B63" s="48"/>
      <c r="C63" s="84"/>
      <c r="D63" s="1563"/>
      <c r="E63" s="1567"/>
      <c r="F63" s="124" t="s">
        <v>417</v>
      </c>
      <c r="G63" s="420">
        <f>'GWP Ref Tables'!G77</f>
        <v>2.7908981221446635E-2</v>
      </c>
      <c r="H63" s="45"/>
      <c r="I63" s="12"/>
      <c r="O63" s="112"/>
    </row>
    <row r="64" spans="2:15" x14ac:dyDescent="0.2">
      <c r="B64" s="48"/>
      <c r="C64" s="84"/>
      <c r="D64" s="1565"/>
      <c r="E64" s="1568"/>
      <c r="F64" s="124" t="s">
        <v>633</v>
      </c>
      <c r="G64" s="420">
        <f>'GWP Ref Tables'!G78</f>
        <v>9.2423087915079374E-2</v>
      </c>
      <c r="H64" s="45"/>
      <c r="I64" s="12"/>
      <c r="O64" s="112"/>
    </row>
    <row r="65" spans="2:15" x14ac:dyDescent="0.2">
      <c r="B65" s="48"/>
      <c r="C65" s="84"/>
      <c r="D65" s="1560" t="s">
        <v>1221</v>
      </c>
      <c r="E65" s="1560"/>
      <c r="F65" s="1560"/>
      <c r="G65" s="423">
        <f>SUM(G54:G64)</f>
        <v>0.99999999999999989</v>
      </c>
      <c r="H65" s="45"/>
      <c r="I65" s="12"/>
      <c r="O65" s="112"/>
    </row>
    <row r="66" spans="2:15" x14ac:dyDescent="0.2">
      <c r="B66" s="48"/>
      <c r="C66" s="84"/>
      <c r="D66" s="45"/>
      <c r="E66" s="45"/>
      <c r="F66" s="45"/>
      <c r="G66" s="21"/>
      <c r="H66" s="45"/>
      <c r="I66" s="12"/>
      <c r="O66" s="112"/>
    </row>
    <row r="67" spans="2:15" x14ac:dyDescent="0.2">
      <c r="B67" s="48"/>
      <c r="C67" s="84"/>
      <c r="E67" s="45"/>
      <c r="F67" s="45"/>
      <c r="G67" s="443"/>
      <c r="H67" s="45"/>
      <c r="I67" s="12"/>
      <c r="O67" s="112"/>
    </row>
    <row r="68" spans="2:15" x14ac:dyDescent="0.2">
      <c r="B68" s="48"/>
      <c r="C68" s="84"/>
      <c r="D68" s="45"/>
      <c r="E68" s="45"/>
      <c r="F68" s="45"/>
      <c r="G68" s="443"/>
      <c r="H68" s="45"/>
      <c r="I68" s="12"/>
      <c r="O68" s="112"/>
    </row>
    <row r="69" spans="2:15" x14ac:dyDescent="0.2">
      <c r="B69" s="48"/>
      <c r="C69" s="84"/>
      <c r="D69" s="45"/>
      <c r="E69" s="45"/>
      <c r="F69" s="45"/>
      <c r="G69" s="45"/>
      <c r="H69" s="45"/>
      <c r="I69" s="12"/>
      <c r="O69" s="112"/>
    </row>
    <row r="70" spans="2:15" x14ac:dyDescent="0.2">
      <c r="B70" s="48"/>
      <c r="C70" s="88"/>
      <c r="D70" s="89"/>
      <c r="E70" s="89"/>
      <c r="F70" s="89"/>
      <c r="G70" s="89"/>
      <c r="H70" s="89"/>
      <c r="I70" s="12"/>
      <c r="O70" s="112"/>
    </row>
    <row r="71" spans="2:15" ht="28" x14ac:dyDescent="0.2">
      <c r="B71" s="48"/>
      <c r="C71" s="692" t="s">
        <v>1222</v>
      </c>
      <c r="D71" s="693"/>
      <c r="E71" s="693"/>
      <c r="F71" s="693"/>
      <c r="G71" s="693"/>
      <c r="H71" s="693"/>
      <c r="I71" s="97"/>
      <c r="O71" s="112"/>
    </row>
    <row r="72" spans="2:15" x14ac:dyDescent="0.2">
      <c r="B72" s="48"/>
      <c r="C72" s="304"/>
      <c r="D72" s="24"/>
      <c r="E72" s="24"/>
      <c r="F72" s="24"/>
      <c r="G72" s="24"/>
      <c r="H72" s="45"/>
      <c r="I72" s="12"/>
      <c r="O72" s="112"/>
    </row>
    <row r="73" spans="2:15" x14ac:dyDescent="0.2">
      <c r="B73" s="48"/>
      <c r="C73" s="675"/>
      <c r="D73" s="1383" t="s">
        <v>620</v>
      </c>
      <c r="E73" s="1384"/>
      <c r="F73" s="1385"/>
      <c r="G73" s="417" t="s">
        <v>621</v>
      </c>
      <c r="H73" s="45"/>
      <c r="I73" s="12"/>
      <c r="O73" s="112"/>
    </row>
    <row r="74" spans="2:15" x14ac:dyDescent="0.2">
      <c r="B74" s="48"/>
      <c r="C74" s="675"/>
      <c r="D74" s="1558" t="s">
        <v>624</v>
      </c>
      <c r="E74" s="1559" t="s">
        <v>625</v>
      </c>
      <c r="F74" s="124" t="s">
        <v>346</v>
      </c>
      <c r="G74" s="698">
        <v>8.9099999999999999E-2</v>
      </c>
      <c r="H74" s="678"/>
      <c r="I74" s="12"/>
      <c r="O74" s="112"/>
    </row>
    <row r="75" spans="2:15" x14ac:dyDescent="0.2">
      <c r="B75" s="48"/>
      <c r="C75" s="675"/>
      <c r="D75" s="1563"/>
      <c r="E75" s="1567"/>
      <c r="F75" s="124" t="s">
        <v>344</v>
      </c>
      <c r="G75" s="698">
        <v>9.9000000000000008E-3</v>
      </c>
      <c r="H75" s="45"/>
      <c r="I75" s="12"/>
      <c r="O75" s="112"/>
    </row>
    <row r="76" spans="2:15" x14ac:dyDescent="0.2">
      <c r="B76" s="48"/>
      <c r="C76" s="675"/>
      <c r="D76" s="1563"/>
      <c r="E76" s="1567"/>
      <c r="F76" s="124" t="s">
        <v>348</v>
      </c>
      <c r="G76" s="698">
        <v>0.16830000000000001</v>
      </c>
      <c r="H76" s="45"/>
      <c r="I76" s="12"/>
      <c r="O76" s="112"/>
    </row>
    <row r="77" spans="2:15" x14ac:dyDescent="0.2">
      <c r="B77" s="48"/>
      <c r="C77" s="675"/>
      <c r="D77" s="1563"/>
      <c r="E77" s="1568"/>
      <c r="F77" s="124" t="s">
        <v>626</v>
      </c>
      <c r="G77" s="698">
        <v>0</v>
      </c>
      <c r="H77" s="45"/>
      <c r="I77" s="12"/>
      <c r="O77" s="112"/>
    </row>
    <row r="78" spans="2:15" x14ac:dyDescent="0.2">
      <c r="B78" s="48"/>
      <c r="C78" s="675"/>
      <c r="D78" s="1563"/>
      <c r="E78" s="1559" t="s">
        <v>627</v>
      </c>
      <c r="F78" s="124" t="s">
        <v>628</v>
      </c>
      <c r="G78" s="698">
        <v>9.9000000000000005E-2</v>
      </c>
      <c r="H78" s="45"/>
      <c r="I78" s="12"/>
      <c r="O78" s="112"/>
    </row>
    <row r="79" spans="2:15" x14ac:dyDescent="0.2">
      <c r="B79" s="48"/>
      <c r="C79" s="675"/>
      <c r="D79" s="1563"/>
      <c r="E79" s="1567"/>
      <c r="F79" s="124" t="s">
        <v>629</v>
      </c>
      <c r="G79" s="698">
        <f>0.5941/4</f>
        <v>0.14852499999999999</v>
      </c>
      <c r="H79" s="45"/>
      <c r="I79" s="12"/>
      <c r="O79" s="112"/>
    </row>
    <row r="80" spans="2:15" x14ac:dyDescent="0.2">
      <c r="B80" s="48"/>
      <c r="C80" s="675"/>
      <c r="D80" s="1563"/>
      <c r="E80" s="1567"/>
      <c r="F80" s="124" t="s">
        <v>630</v>
      </c>
      <c r="G80" s="698">
        <f>0.0396/2</f>
        <v>1.9800000000000002E-2</v>
      </c>
      <c r="H80" s="45"/>
      <c r="I80" s="12"/>
      <c r="O80" s="112"/>
    </row>
    <row r="81" spans="2:15" x14ac:dyDescent="0.2">
      <c r="B81" s="48"/>
      <c r="C81" s="675"/>
      <c r="D81" s="1563"/>
      <c r="E81" s="1567"/>
      <c r="F81" s="124" t="s">
        <v>631</v>
      </c>
      <c r="G81" s="698">
        <f>0.0396/2</f>
        <v>1.9800000000000002E-2</v>
      </c>
      <c r="H81" s="45"/>
      <c r="I81" s="12"/>
      <c r="O81" s="112"/>
    </row>
    <row r="82" spans="2:15" x14ac:dyDescent="0.2">
      <c r="B82" s="48"/>
      <c r="C82" s="675"/>
      <c r="D82" s="1563"/>
      <c r="E82" s="1567"/>
      <c r="F82" s="124" t="s">
        <v>632</v>
      </c>
      <c r="G82" s="698">
        <f>0.5941/4</f>
        <v>0.14852499999999999</v>
      </c>
      <c r="H82" s="45"/>
      <c r="I82" s="12"/>
      <c r="O82" s="112"/>
    </row>
    <row r="83" spans="2:15" x14ac:dyDescent="0.2">
      <c r="B83" s="48"/>
      <c r="C83" s="84"/>
      <c r="D83" s="1563"/>
      <c r="E83" s="1567"/>
      <c r="F83" s="124" t="s">
        <v>417</v>
      </c>
      <c r="G83" s="698">
        <f>0.5941/4</f>
        <v>0.14852499999999999</v>
      </c>
      <c r="H83" s="45"/>
      <c r="I83" s="12"/>
      <c r="O83" s="112"/>
    </row>
    <row r="84" spans="2:15" x14ac:dyDescent="0.2">
      <c r="B84" s="48"/>
      <c r="C84" s="84"/>
      <c r="D84" s="1565"/>
      <c r="E84" s="1568"/>
      <c r="F84" s="124" t="s">
        <v>633</v>
      </c>
      <c r="G84" s="698">
        <f>0.5941/4</f>
        <v>0.14852499999999999</v>
      </c>
      <c r="H84" s="45"/>
      <c r="I84" s="12"/>
      <c r="O84" s="112"/>
    </row>
    <row r="85" spans="2:15" x14ac:dyDescent="0.2">
      <c r="B85" s="48"/>
      <c r="C85" s="84"/>
      <c r="D85" s="1560" t="s">
        <v>1221</v>
      </c>
      <c r="E85" s="1560"/>
      <c r="F85" s="1560"/>
      <c r="G85" s="423">
        <f>SUM(G74:G84)</f>
        <v>1</v>
      </c>
      <c r="H85" s="45"/>
      <c r="I85" s="12"/>
      <c r="O85" s="112"/>
    </row>
    <row r="86" spans="2:15" x14ac:dyDescent="0.2">
      <c r="B86" s="48"/>
      <c r="C86" s="84"/>
      <c r="D86" s="45"/>
      <c r="E86" s="45"/>
      <c r="F86" s="45"/>
      <c r="G86" s="21"/>
      <c r="H86" s="45"/>
      <c r="I86" s="12"/>
      <c r="O86" s="112"/>
    </row>
    <row r="87" spans="2:15" x14ac:dyDescent="0.2">
      <c r="B87" s="48"/>
      <c r="C87" s="84"/>
      <c r="E87" s="45"/>
      <c r="F87" s="45"/>
      <c r="G87" s="443"/>
      <c r="H87" s="45"/>
      <c r="I87" s="12"/>
      <c r="O87" s="112"/>
    </row>
    <row r="88" spans="2:15" x14ac:dyDescent="0.2">
      <c r="B88" s="48"/>
      <c r="C88" s="84"/>
      <c r="D88" s="45"/>
      <c r="E88" s="45"/>
      <c r="F88" s="45"/>
      <c r="G88" s="443"/>
      <c r="H88" s="426"/>
      <c r="I88" s="12"/>
      <c r="O88" s="112"/>
    </row>
    <row r="89" spans="2:15" x14ac:dyDescent="0.2">
      <c r="B89" s="48"/>
      <c r="C89" s="84"/>
      <c r="D89" s="45"/>
      <c r="E89" s="45"/>
      <c r="F89" s="45"/>
      <c r="G89" s="45"/>
      <c r="H89" s="45"/>
      <c r="I89" s="12"/>
      <c r="O89" s="112"/>
    </row>
    <row r="90" spans="2:15" x14ac:dyDescent="0.2">
      <c r="B90" s="48"/>
      <c r="C90" s="88"/>
      <c r="D90" s="89"/>
      <c r="E90" s="89"/>
      <c r="F90" s="89"/>
      <c r="G90" s="89"/>
      <c r="H90" s="89"/>
      <c r="I90" s="90"/>
      <c r="O90" s="112"/>
    </row>
    <row r="91" spans="2:15" x14ac:dyDescent="0.2">
      <c r="B91" s="48"/>
      <c r="C91" s="692" t="s">
        <v>1223</v>
      </c>
      <c r="D91" s="693"/>
      <c r="E91" s="693"/>
      <c r="F91" s="693"/>
      <c r="G91" s="693"/>
      <c r="H91" s="693"/>
      <c r="I91" s="12"/>
      <c r="O91" s="112"/>
    </row>
    <row r="92" spans="2:15" x14ac:dyDescent="0.2">
      <c r="B92" s="48"/>
      <c r="C92" s="304"/>
      <c r="D92" s="24"/>
      <c r="E92" s="24"/>
      <c r="F92" s="24"/>
      <c r="G92" s="24"/>
      <c r="H92" s="45"/>
      <c r="I92" s="12"/>
      <c r="O92" s="112"/>
    </row>
    <row r="93" spans="2:15" x14ac:dyDescent="0.2">
      <c r="B93" s="48"/>
      <c r="C93" s="675"/>
      <c r="D93" s="1383" t="s">
        <v>620</v>
      </c>
      <c r="E93" s="1384"/>
      <c r="F93" s="1385"/>
      <c r="G93" s="417" t="s">
        <v>621</v>
      </c>
      <c r="H93" s="45"/>
      <c r="I93" s="12"/>
      <c r="O93" s="112"/>
    </row>
    <row r="94" spans="2:15" x14ac:dyDescent="0.2">
      <c r="B94" s="48"/>
      <c r="C94" s="675"/>
      <c r="D94" s="1558" t="s">
        <v>624</v>
      </c>
      <c r="E94" s="1559" t="s">
        <v>625</v>
      </c>
      <c r="F94" s="124" t="s">
        <v>346</v>
      </c>
      <c r="G94" s="698">
        <v>0.01</v>
      </c>
      <c r="H94" s="678"/>
      <c r="I94" s="12"/>
      <c r="O94" s="112"/>
    </row>
    <row r="95" spans="2:15" x14ac:dyDescent="0.2">
      <c r="B95" s="48"/>
      <c r="C95" s="675"/>
      <c r="D95" s="1563"/>
      <c r="E95" s="1567"/>
      <c r="F95" s="124" t="s">
        <v>344</v>
      </c>
      <c r="G95" s="698">
        <v>0</v>
      </c>
      <c r="H95" s="45"/>
      <c r="I95" s="12"/>
      <c r="O95" s="112"/>
    </row>
    <row r="96" spans="2:15" x14ac:dyDescent="0.2">
      <c r="B96" s="48"/>
      <c r="C96" s="675"/>
      <c r="D96" s="1563"/>
      <c r="E96" s="1567"/>
      <c r="F96" s="124" t="s">
        <v>348</v>
      </c>
      <c r="G96" s="698">
        <v>0.01</v>
      </c>
      <c r="H96" s="45"/>
      <c r="I96" s="12"/>
      <c r="O96" s="112"/>
    </row>
    <row r="97" spans="2:15" x14ac:dyDescent="0.2">
      <c r="B97" s="48"/>
      <c r="C97" s="675"/>
      <c r="D97" s="1563"/>
      <c r="E97" s="1568"/>
      <c r="F97" s="124" t="s">
        <v>626</v>
      </c>
      <c r="G97" s="698">
        <v>0</v>
      </c>
      <c r="H97" s="45"/>
      <c r="I97" s="12"/>
      <c r="O97" s="112"/>
    </row>
    <row r="98" spans="2:15" x14ac:dyDescent="0.2">
      <c r="B98" s="48"/>
      <c r="C98" s="675"/>
      <c r="D98" s="1563"/>
      <c r="E98" s="1559" t="s">
        <v>627</v>
      </c>
      <c r="F98" s="124" t="s">
        <v>628</v>
      </c>
      <c r="G98" s="698">
        <v>0.08</v>
      </c>
      <c r="H98" s="45"/>
      <c r="I98" s="12"/>
      <c r="O98" s="112"/>
    </row>
    <row r="99" spans="2:15" x14ac:dyDescent="0.2">
      <c r="B99" s="48"/>
      <c r="C99" s="675"/>
      <c r="D99" s="1563"/>
      <c r="E99" s="1567"/>
      <c r="F99" s="124" t="s">
        <v>629</v>
      </c>
      <c r="G99" s="698">
        <f>0.85/4</f>
        <v>0.21249999999999999</v>
      </c>
      <c r="H99" s="45"/>
      <c r="I99" s="12"/>
      <c r="O99" s="112"/>
    </row>
    <row r="100" spans="2:15" x14ac:dyDescent="0.2">
      <c r="B100" s="48"/>
      <c r="C100" s="675"/>
      <c r="D100" s="1563"/>
      <c r="E100" s="1567"/>
      <c r="F100" s="124" t="s">
        <v>630</v>
      </c>
      <c r="G100" s="698">
        <v>2.5000000000000001E-2</v>
      </c>
      <c r="H100" s="45"/>
      <c r="I100" s="12"/>
      <c r="O100" s="112"/>
    </row>
    <row r="101" spans="2:15" x14ac:dyDescent="0.2">
      <c r="B101" s="48"/>
      <c r="C101" s="675"/>
      <c r="D101" s="1563"/>
      <c r="E101" s="1567"/>
      <c r="F101" s="124" t="s">
        <v>631</v>
      </c>
      <c r="G101" s="698">
        <v>2.5000000000000001E-2</v>
      </c>
      <c r="H101" s="45"/>
      <c r="I101" s="12"/>
      <c r="O101" s="112"/>
    </row>
    <row r="102" spans="2:15" x14ac:dyDescent="0.2">
      <c r="B102" s="48"/>
      <c r="C102" s="675"/>
      <c r="D102" s="1563"/>
      <c r="E102" s="1567"/>
      <c r="F102" s="124" t="s">
        <v>632</v>
      </c>
      <c r="G102" s="698">
        <f>0.85/4</f>
        <v>0.21249999999999999</v>
      </c>
      <c r="H102" s="45"/>
      <c r="I102" s="12"/>
      <c r="O102" s="112"/>
    </row>
    <row r="103" spans="2:15" x14ac:dyDescent="0.2">
      <c r="B103" s="48"/>
      <c r="C103" s="84"/>
      <c r="D103" s="1563"/>
      <c r="E103" s="1567"/>
      <c r="F103" s="124" t="s">
        <v>417</v>
      </c>
      <c r="G103" s="698">
        <f>0.85/4</f>
        <v>0.21249999999999999</v>
      </c>
      <c r="H103" s="45"/>
      <c r="I103" s="12"/>
      <c r="O103" s="112"/>
    </row>
    <row r="104" spans="2:15" x14ac:dyDescent="0.2">
      <c r="B104" s="48"/>
      <c r="C104" s="84"/>
      <c r="D104" s="1565"/>
      <c r="E104" s="1568"/>
      <c r="F104" s="124" t="s">
        <v>633</v>
      </c>
      <c r="G104" s="698">
        <f>0.85/4</f>
        <v>0.21249999999999999</v>
      </c>
      <c r="H104" s="45"/>
      <c r="I104" s="12"/>
      <c r="O104" s="112"/>
    </row>
    <row r="105" spans="2:15" x14ac:dyDescent="0.2">
      <c r="B105" s="48"/>
      <c r="C105" s="84"/>
      <c r="D105" s="1560" t="s">
        <v>1221</v>
      </c>
      <c r="E105" s="1560"/>
      <c r="F105" s="1560"/>
      <c r="G105" s="423">
        <f>SUM(G94:G104)</f>
        <v>1</v>
      </c>
      <c r="H105" s="45"/>
      <c r="I105" s="12"/>
      <c r="O105" s="112"/>
    </row>
    <row r="106" spans="2:15" x14ac:dyDescent="0.2">
      <c r="B106" s="48"/>
      <c r="C106" s="84"/>
      <c r="D106" s="45"/>
      <c r="E106" s="45"/>
      <c r="F106" s="45"/>
      <c r="G106" s="21"/>
      <c r="H106" s="45"/>
      <c r="I106" s="12"/>
      <c r="O106" s="112"/>
    </row>
    <row r="107" spans="2:15" x14ac:dyDescent="0.2">
      <c r="B107" s="48"/>
      <c r="C107" s="84"/>
      <c r="E107" s="45"/>
      <c r="F107" s="45"/>
      <c r="G107" s="443"/>
      <c r="H107" s="45"/>
      <c r="I107" s="12"/>
      <c r="O107" s="112"/>
    </row>
    <row r="108" spans="2:15" x14ac:dyDescent="0.2">
      <c r="B108" s="48"/>
      <c r="C108" s="84"/>
      <c r="D108" s="45"/>
      <c r="E108" s="45"/>
      <c r="F108" s="45"/>
      <c r="G108" s="443"/>
      <c r="H108" s="45"/>
      <c r="I108" s="12"/>
      <c r="O108" s="112"/>
    </row>
    <row r="109" spans="2:15" x14ac:dyDescent="0.2">
      <c r="B109" s="48"/>
      <c r="C109" s="84"/>
      <c r="D109" s="45"/>
      <c r="E109" s="45"/>
      <c r="F109" s="45"/>
      <c r="G109" s="45"/>
      <c r="H109" s="45"/>
      <c r="I109" s="12"/>
      <c r="O109" s="112"/>
    </row>
    <row r="110" spans="2:15" x14ac:dyDescent="0.2">
      <c r="B110" s="1028"/>
      <c r="C110" s="88"/>
      <c r="D110" s="89"/>
      <c r="E110" s="89"/>
      <c r="F110" s="89"/>
      <c r="G110" s="89"/>
      <c r="H110" s="89"/>
      <c r="I110" s="90"/>
      <c r="J110" s="305"/>
      <c r="K110" s="305"/>
      <c r="L110" s="305"/>
      <c r="M110" s="305"/>
      <c r="N110" s="305"/>
      <c r="O110" s="1029"/>
    </row>
  </sheetData>
  <mergeCells count="27">
    <mergeCell ref="D54:D64"/>
    <mergeCell ref="E54:E57"/>
    <mergeCell ref="E58:E64"/>
    <mergeCell ref="C34:C43"/>
    <mergeCell ref="D35:D41"/>
    <mergeCell ref="C48:I48"/>
    <mergeCell ref="D53:F53"/>
    <mergeCell ref="D105:F105"/>
    <mergeCell ref="D85:F85"/>
    <mergeCell ref="D93:F93"/>
    <mergeCell ref="D94:D104"/>
    <mergeCell ref="E94:E97"/>
    <mergeCell ref="E98:E104"/>
    <mergeCell ref="D65:F65"/>
    <mergeCell ref="D73:F73"/>
    <mergeCell ref="D74:D84"/>
    <mergeCell ref="E74:E77"/>
    <mergeCell ref="E78:E84"/>
    <mergeCell ref="B1:M1"/>
    <mergeCell ref="B2:M2"/>
    <mergeCell ref="B3:M3"/>
    <mergeCell ref="B4:M4"/>
    <mergeCell ref="C8:C30"/>
    <mergeCell ref="D9:D16"/>
    <mergeCell ref="D17:D20"/>
    <mergeCell ref="D22:D29"/>
    <mergeCell ref="B5:N5"/>
  </mergeCells>
  <hyperlinks>
    <hyperlink ref="D51" location="GWP_Elec_Reference" display="Reference Tab" xr:uid="{1DEF2F10-A6F4-4BC5-BD04-AF679A358340}"/>
  </hyperlink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094B6-2CF8-4BBB-B07B-3D812F583849}">
  <sheetPr codeName="Sheet9">
    <tabColor theme="0" tint="-0.499984740745262"/>
  </sheetPr>
  <dimension ref="A1:X77"/>
  <sheetViews>
    <sheetView topLeftCell="D70" workbookViewId="0">
      <selection activeCell="D76" sqref="D76"/>
    </sheetView>
  </sheetViews>
  <sheetFormatPr baseColWidth="10" defaultColWidth="8.83203125" defaultRowHeight="15" x14ac:dyDescent="0.2"/>
  <cols>
    <col min="1" max="1" width="2.6640625" customWidth="1"/>
    <col min="2" max="2" width="81.33203125" customWidth="1"/>
    <col min="3" max="3" width="25.33203125" customWidth="1"/>
    <col min="4" max="4" width="30.33203125" customWidth="1"/>
    <col min="5" max="5" width="30.6640625" customWidth="1"/>
    <col min="6" max="6" width="24.6640625" customWidth="1"/>
    <col min="7" max="7" width="23.33203125" customWidth="1"/>
    <col min="9" max="9" width="18.6640625" customWidth="1"/>
    <col min="10" max="10" width="14.6640625" customWidth="1"/>
    <col min="11" max="11" width="12.33203125" customWidth="1"/>
    <col min="12" max="12" width="10.6640625" customWidth="1"/>
  </cols>
  <sheetData>
    <row r="1" spans="1:24" x14ac:dyDescent="0.2">
      <c r="A1" s="45"/>
      <c r="B1" s="45"/>
      <c r="C1" s="45"/>
      <c r="D1" s="45"/>
      <c r="E1" s="45"/>
      <c r="F1" s="45"/>
      <c r="G1" s="45"/>
      <c r="H1" s="45"/>
      <c r="I1" s="45"/>
      <c r="J1" s="45"/>
      <c r="K1" s="45"/>
      <c r="L1" s="45"/>
      <c r="M1" s="45"/>
      <c r="N1" s="45"/>
      <c r="O1" s="45"/>
      <c r="P1" s="45"/>
      <c r="Q1" s="45"/>
      <c r="R1" s="45"/>
      <c r="S1" s="45"/>
      <c r="T1" s="45"/>
      <c r="U1" s="45"/>
      <c r="V1" s="45"/>
      <c r="W1" s="45"/>
      <c r="X1" s="45"/>
    </row>
    <row r="2" spans="1:24" x14ac:dyDescent="0.2">
      <c r="A2" s="45"/>
      <c r="B2" s="157" t="s">
        <v>1224</v>
      </c>
      <c r="C2" s="45"/>
      <c r="D2" s="45"/>
      <c r="E2" s="45"/>
      <c r="F2" s="45"/>
      <c r="G2" s="45"/>
      <c r="H2" s="45"/>
      <c r="I2" s="45"/>
      <c r="J2" s="45"/>
      <c r="K2" s="45"/>
      <c r="L2" s="45"/>
      <c r="M2" s="45"/>
      <c r="N2" s="45"/>
      <c r="O2" s="45"/>
      <c r="P2" s="45"/>
      <c r="Q2" s="45"/>
      <c r="R2" s="45"/>
      <c r="S2" s="45"/>
      <c r="T2" s="45"/>
      <c r="U2" s="45"/>
      <c r="V2" s="45"/>
      <c r="W2" s="45"/>
      <c r="X2" s="45"/>
    </row>
    <row r="3" spans="1:24" x14ac:dyDescent="0.2">
      <c r="A3" s="45"/>
      <c r="B3" s="156" t="s">
        <v>1225</v>
      </c>
      <c r="C3" s="45"/>
      <c r="D3" s="45"/>
      <c r="E3" s="45"/>
      <c r="F3" s="45"/>
      <c r="G3" s="45"/>
      <c r="H3" s="45"/>
      <c r="I3" s="45"/>
      <c r="J3" s="45"/>
      <c r="K3" s="45"/>
      <c r="L3" s="45"/>
      <c r="M3" s="45"/>
      <c r="N3" s="45"/>
      <c r="O3" s="45"/>
      <c r="P3" s="45"/>
      <c r="Q3" s="45"/>
      <c r="R3" s="45"/>
      <c r="S3" s="45"/>
      <c r="T3" s="45"/>
      <c r="U3" s="45"/>
      <c r="V3" s="45"/>
      <c r="W3" s="45"/>
      <c r="X3" s="45"/>
    </row>
    <row r="4" spans="1:24" x14ac:dyDescent="0.2">
      <c r="A4" s="45"/>
      <c r="B4" s="156" t="s">
        <v>1226</v>
      </c>
      <c r="C4" s="45"/>
      <c r="D4" s="45"/>
      <c r="E4" s="45"/>
      <c r="F4" s="45"/>
      <c r="G4" s="45"/>
      <c r="H4" s="45"/>
      <c r="I4" s="45"/>
      <c r="J4" s="45"/>
      <c r="K4" s="45"/>
      <c r="L4" s="45"/>
      <c r="M4" s="45"/>
      <c r="N4" s="45"/>
      <c r="O4" s="45"/>
      <c r="P4" s="45"/>
      <c r="Q4" s="45"/>
      <c r="R4" s="45"/>
      <c r="S4" s="45"/>
      <c r="T4" s="45"/>
      <c r="U4" s="45"/>
      <c r="V4" s="45"/>
      <c r="W4" s="45"/>
      <c r="X4" s="45"/>
    </row>
    <row r="5" spans="1:24" x14ac:dyDescent="0.2">
      <c r="A5" s="45"/>
      <c r="B5" s="156" t="s">
        <v>1227</v>
      </c>
      <c r="C5" s="45"/>
      <c r="D5" s="45"/>
      <c r="E5" s="45"/>
      <c r="F5" s="45"/>
      <c r="G5" s="45"/>
      <c r="H5" s="45"/>
      <c r="I5" s="45"/>
      <c r="J5" s="45"/>
      <c r="K5" s="45"/>
      <c r="L5" s="45"/>
      <c r="M5" s="45"/>
      <c r="N5" s="45"/>
      <c r="O5" s="45"/>
      <c r="P5" s="45"/>
      <c r="Q5" s="45"/>
      <c r="R5" s="45"/>
      <c r="S5" s="45"/>
      <c r="T5" s="45"/>
      <c r="U5" s="45"/>
      <c r="V5" s="45"/>
      <c r="W5" s="45"/>
      <c r="X5" s="45"/>
    </row>
    <row r="6" spans="1:24" x14ac:dyDescent="0.2">
      <c r="A6" s="45"/>
      <c r="B6" s="156" t="s">
        <v>1228</v>
      </c>
      <c r="C6" s="45"/>
      <c r="D6" s="45"/>
      <c r="E6" s="45"/>
      <c r="F6" s="45"/>
      <c r="G6" s="45"/>
      <c r="H6" s="45"/>
      <c r="I6" s="45"/>
      <c r="J6" s="45"/>
      <c r="K6" s="45"/>
      <c r="L6" s="45"/>
      <c r="M6" s="45"/>
      <c r="N6" s="45"/>
      <c r="O6" s="45"/>
      <c r="P6" s="45"/>
      <c r="Q6" s="45"/>
      <c r="R6" s="45"/>
      <c r="S6" s="45"/>
      <c r="T6" s="45"/>
      <c r="U6" s="45"/>
      <c r="V6" s="45"/>
      <c r="W6" s="45"/>
      <c r="X6" s="45"/>
    </row>
    <row r="7" spans="1:24" x14ac:dyDescent="0.2">
      <c r="A7" s="45"/>
      <c r="B7" s="156" t="s">
        <v>1229</v>
      </c>
      <c r="C7" s="45"/>
      <c r="D7" s="45"/>
      <c r="E7" s="45"/>
      <c r="F7" s="45"/>
      <c r="G7" s="45"/>
      <c r="H7" s="45"/>
      <c r="I7" s="45"/>
      <c r="J7" s="45"/>
      <c r="K7" s="45"/>
      <c r="L7" s="45"/>
      <c r="M7" s="45"/>
      <c r="N7" s="45"/>
      <c r="O7" s="45"/>
      <c r="P7" s="45"/>
      <c r="Q7" s="45"/>
      <c r="R7" s="45"/>
      <c r="S7" s="45"/>
      <c r="T7" s="45"/>
      <c r="U7" s="45"/>
      <c r="V7" s="45"/>
      <c r="W7" s="45"/>
      <c r="X7" s="45"/>
    </row>
    <row r="8" spans="1:24" x14ac:dyDescent="0.2">
      <c r="A8" s="45"/>
      <c r="B8" s="156" t="s">
        <v>1230</v>
      </c>
      <c r="C8" s="45"/>
      <c r="D8" s="45"/>
      <c r="E8" s="45"/>
      <c r="F8" s="45"/>
      <c r="G8" s="45"/>
      <c r="H8" s="45"/>
      <c r="I8" s="45"/>
      <c r="J8" s="45"/>
      <c r="K8" s="45"/>
      <c r="L8" s="45"/>
      <c r="M8" s="45"/>
      <c r="N8" s="45"/>
      <c r="O8" s="45"/>
      <c r="P8" s="45"/>
      <c r="Q8" s="45"/>
      <c r="R8" s="45"/>
      <c r="S8" s="45"/>
      <c r="T8" s="45"/>
      <c r="U8" s="45"/>
      <c r="V8" s="45"/>
      <c r="W8" s="45"/>
      <c r="X8" s="45"/>
    </row>
    <row r="9" spans="1:24" x14ac:dyDescent="0.2">
      <c r="A9" s="45"/>
      <c r="B9" s="156" t="s">
        <v>1231</v>
      </c>
      <c r="C9" s="45"/>
      <c r="D9" s="45"/>
      <c r="E9" s="45"/>
      <c r="F9" s="45"/>
      <c r="G9" s="45"/>
      <c r="H9" s="45"/>
      <c r="I9" s="45"/>
      <c r="J9" s="45"/>
      <c r="K9" s="45"/>
      <c r="L9" s="45"/>
      <c r="M9" s="45"/>
      <c r="N9" s="45"/>
      <c r="O9" s="45"/>
      <c r="P9" s="45"/>
      <c r="Q9" s="45"/>
      <c r="R9" s="45"/>
      <c r="S9" s="45"/>
      <c r="T9" s="45"/>
      <c r="U9" s="45"/>
      <c r="V9" s="45"/>
      <c r="W9" s="45"/>
      <c r="X9" s="45"/>
    </row>
    <row r="10" spans="1:24" x14ac:dyDescent="0.2">
      <c r="A10" s="45"/>
      <c r="B10" s="156" t="s">
        <v>1232</v>
      </c>
      <c r="C10" s="45"/>
      <c r="D10" s="45"/>
      <c r="E10" s="45"/>
      <c r="F10" s="45"/>
      <c r="G10" s="45"/>
      <c r="H10" s="45"/>
      <c r="I10" s="45"/>
      <c r="J10" s="45"/>
      <c r="K10" s="45"/>
      <c r="L10" s="45"/>
      <c r="M10" s="45"/>
      <c r="N10" s="45"/>
      <c r="O10" s="45"/>
      <c r="P10" s="45"/>
      <c r="Q10" s="45"/>
      <c r="R10" s="45"/>
      <c r="S10" s="45"/>
      <c r="T10" s="45"/>
      <c r="U10" s="45"/>
      <c r="V10" s="45"/>
      <c r="W10" s="45"/>
      <c r="X10" s="45"/>
    </row>
    <row r="11" spans="1:24" x14ac:dyDescent="0.2">
      <c r="A11" s="45"/>
      <c r="B11" s="156" t="s">
        <v>1233</v>
      </c>
      <c r="C11" s="45"/>
      <c r="D11" s="45"/>
      <c r="E11" s="45"/>
      <c r="F11" s="45"/>
      <c r="G11" s="45"/>
      <c r="H11" s="45"/>
      <c r="I11" s="45"/>
      <c r="J11" s="45"/>
      <c r="K11" s="45"/>
      <c r="L11" s="45"/>
      <c r="M11" s="45"/>
      <c r="N11" s="45"/>
      <c r="O11" s="45"/>
      <c r="P11" s="45"/>
      <c r="Q11" s="45"/>
      <c r="R11" s="45"/>
      <c r="S11" s="45"/>
      <c r="T11" s="45"/>
      <c r="U11" s="45"/>
      <c r="V11" s="45"/>
      <c r="W11" s="45"/>
      <c r="X11" s="45"/>
    </row>
    <row r="12" spans="1:24" x14ac:dyDescent="0.2">
      <c r="A12" s="17"/>
      <c r="B12" s="17"/>
      <c r="C12" s="17"/>
      <c r="D12" s="17"/>
      <c r="E12" s="17"/>
      <c r="F12" s="17"/>
      <c r="G12" s="17"/>
      <c r="H12" s="17"/>
      <c r="I12" s="17"/>
      <c r="J12" s="17"/>
      <c r="K12" s="17"/>
      <c r="L12" s="17"/>
      <c r="M12" s="17"/>
      <c r="N12" s="45"/>
      <c r="O12" s="45"/>
      <c r="P12" s="45"/>
      <c r="Q12" s="45"/>
      <c r="R12" s="45"/>
      <c r="S12" s="45"/>
      <c r="T12" s="45"/>
      <c r="U12" s="45"/>
      <c r="V12" s="45"/>
      <c r="W12" s="45"/>
      <c r="X12" s="45"/>
    </row>
    <row r="13" spans="1:24" ht="16" x14ac:dyDescent="0.2">
      <c r="A13" s="17"/>
      <c r="B13" s="214" t="s">
        <v>1234</v>
      </c>
      <c r="C13" s="215"/>
      <c r="D13" s="157"/>
      <c r="E13" s="17"/>
      <c r="F13" s="17"/>
      <c r="G13" s="17"/>
      <c r="H13" s="17"/>
      <c r="I13" s="17"/>
      <c r="J13" s="17"/>
      <c r="K13" s="17"/>
      <c r="L13" s="17"/>
      <c r="M13" s="17"/>
      <c r="N13" s="45"/>
      <c r="O13" s="45"/>
      <c r="P13" s="45"/>
      <c r="Q13" s="45"/>
      <c r="R13" s="45"/>
      <c r="S13" s="45"/>
      <c r="T13" s="45"/>
      <c r="U13" s="45"/>
      <c r="V13" s="45"/>
      <c r="W13" s="45"/>
      <c r="X13" s="45"/>
    </row>
    <row r="14" spans="1:24" x14ac:dyDescent="0.2">
      <c r="A14" s="17"/>
      <c r="B14" s="91" t="s">
        <v>1235</v>
      </c>
      <c r="C14" s="22"/>
      <c r="D14" s="213"/>
      <c r="E14" s="17"/>
      <c r="F14" s="17"/>
      <c r="G14" s="17"/>
      <c r="H14" s="17"/>
      <c r="I14" s="17"/>
      <c r="J14" s="17"/>
      <c r="K14" s="17"/>
      <c r="L14" s="17"/>
      <c r="M14" s="17"/>
      <c r="N14" s="45"/>
      <c r="O14" s="45"/>
      <c r="P14" s="45"/>
      <c r="Q14" s="45"/>
      <c r="R14" s="45"/>
      <c r="S14" s="45"/>
      <c r="T14" s="45"/>
      <c r="U14" s="45"/>
      <c r="V14" s="45"/>
      <c r="W14" s="45"/>
      <c r="X14" s="45"/>
    </row>
    <row r="15" spans="1:24" x14ac:dyDescent="0.2">
      <c r="A15" s="17"/>
      <c r="B15" s="91" t="s">
        <v>67</v>
      </c>
      <c r="C15" s="22"/>
      <c r="D15" s="213"/>
      <c r="E15" s="17"/>
      <c r="F15" s="17"/>
      <c r="G15" s="17"/>
      <c r="H15" s="17"/>
      <c r="I15" s="17"/>
      <c r="J15" s="17"/>
      <c r="K15" s="17"/>
      <c r="L15" s="17"/>
      <c r="M15" s="17"/>
      <c r="N15" s="45"/>
      <c r="O15" s="45"/>
      <c r="P15" s="45"/>
      <c r="Q15" s="45"/>
      <c r="R15" s="45"/>
      <c r="S15" s="45"/>
      <c r="T15" s="45"/>
      <c r="U15" s="45"/>
      <c r="V15" s="45"/>
      <c r="W15" s="45"/>
      <c r="X15" s="45"/>
    </row>
    <row r="16" spans="1:24" x14ac:dyDescent="0.2">
      <c r="A16" s="17"/>
      <c r="B16" s="91" t="s">
        <v>1236</v>
      </c>
      <c r="C16" s="22"/>
      <c r="D16" s="213"/>
      <c r="E16" s="17"/>
      <c r="F16" s="17"/>
      <c r="G16" s="17"/>
      <c r="H16" s="17"/>
      <c r="I16" s="17"/>
      <c r="J16" s="17"/>
      <c r="K16" s="17"/>
      <c r="L16" s="17"/>
      <c r="M16" s="17"/>
      <c r="N16" s="45"/>
      <c r="O16" s="45"/>
      <c r="P16" s="45"/>
      <c r="Q16" s="45"/>
      <c r="R16" s="45"/>
      <c r="S16" s="45"/>
      <c r="T16" s="45"/>
      <c r="U16" s="45"/>
      <c r="V16" s="45"/>
      <c r="W16" s="45"/>
      <c r="X16" s="45"/>
    </row>
    <row r="17" spans="1:24" x14ac:dyDescent="0.2">
      <c r="A17" s="17"/>
      <c r="B17" s="91" t="s">
        <v>1237</v>
      </c>
      <c r="C17" s="22"/>
      <c r="D17" s="213"/>
      <c r="E17" s="17"/>
      <c r="F17" s="17"/>
      <c r="G17" s="17"/>
      <c r="H17" s="17"/>
      <c r="I17" s="17"/>
      <c r="J17" s="17"/>
      <c r="K17" s="17"/>
      <c r="L17" s="17"/>
      <c r="M17" s="17"/>
      <c r="N17" s="45"/>
      <c r="O17" s="45"/>
      <c r="P17" s="45"/>
      <c r="Q17" s="45"/>
      <c r="R17" s="45"/>
      <c r="S17" s="45"/>
      <c r="T17" s="45"/>
      <c r="U17" s="45"/>
      <c r="V17" s="45"/>
      <c r="W17" s="45"/>
      <c r="X17" s="45"/>
    </row>
    <row r="18" spans="1:24" x14ac:dyDescent="0.2">
      <c r="A18" s="17"/>
      <c r="B18" s="91" t="s">
        <v>1238</v>
      </c>
      <c r="C18" s="22"/>
      <c r="D18" s="213"/>
      <c r="E18" s="17"/>
      <c r="F18" s="17"/>
      <c r="G18" s="17"/>
      <c r="H18" s="17"/>
      <c r="I18" s="17"/>
      <c r="J18" s="17"/>
      <c r="K18" s="17"/>
      <c r="L18" s="17"/>
      <c r="M18" s="17"/>
      <c r="N18" s="45"/>
      <c r="O18" s="45"/>
      <c r="P18" s="45"/>
      <c r="Q18" s="45"/>
      <c r="R18" s="45"/>
      <c r="S18" s="45"/>
      <c r="T18" s="45"/>
      <c r="U18" s="45"/>
      <c r="V18" s="45"/>
      <c r="W18" s="45"/>
      <c r="X18" s="45"/>
    </row>
    <row r="19" spans="1:24" x14ac:dyDescent="0.2">
      <c r="A19" s="17"/>
      <c r="B19" s="91" t="s">
        <v>1239</v>
      </c>
      <c r="C19" s="22"/>
      <c r="D19" s="213"/>
      <c r="E19" s="17"/>
      <c r="F19" s="17"/>
      <c r="G19" s="17"/>
      <c r="H19" s="17"/>
      <c r="I19" s="17"/>
      <c r="J19" s="17"/>
      <c r="K19" s="17"/>
      <c r="L19" s="17"/>
      <c r="M19" s="17"/>
      <c r="N19" s="45"/>
      <c r="O19" s="45"/>
      <c r="P19" s="45"/>
      <c r="Q19" s="45"/>
      <c r="R19" s="45"/>
      <c r="S19" s="45"/>
      <c r="T19" s="45"/>
      <c r="U19" s="45"/>
      <c r="V19" s="45"/>
      <c r="W19" s="45"/>
      <c r="X19" s="45"/>
    </row>
    <row r="20" spans="1:24" x14ac:dyDescent="0.2">
      <c r="A20" s="17"/>
      <c r="B20" s="91" t="s">
        <v>1240</v>
      </c>
      <c r="C20" s="22"/>
      <c r="D20" s="213"/>
      <c r="E20" s="17"/>
      <c r="F20" s="17"/>
      <c r="G20" s="17"/>
      <c r="H20" s="17"/>
      <c r="I20" s="17"/>
      <c r="J20" s="17"/>
      <c r="K20" s="17"/>
      <c r="L20" s="17"/>
      <c r="M20" s="17"/>
      <c r="N20" s="45"/>
      <c r="O20" s="45"/>
      <c r="P20" s="45"/>
      <c r="Q20" s="45"/>
      <c r="R20" s="45"/>
      <c r="S20" s="45"/>
      <c r="T20" s="45"/>
      <c r="U20" s="45"/>
      <c r="V20" s="45"/>
      <c r="W20" s="45"/>
      <c r="X20" s="45"/>
    </row>
    <row r="21" spans="1:24" x14ac:dyDescent="0.2">
      <c r="A21" s="17"/>
      <c r="B21" s="17"/>
      <c r="C21" s="17"/>
      <c r="D21" s="213"/>
      <c r="E21" s="17"/>
      <c r="F21" s="17"/>
      <c r="G21" s="17"/>
      <c r="H21" s="17"/>
      <c r="I21" s="17"/>
      <c r="J21" s="17"/>
      <c r="K21" s="17"/>
      <c r="L21" s="17"/>
      <c r="M21" s="17"/>
      <c r="N21" s="45"/>
      <c r="O21" s="45"/>
      <c r="P21" s="45"/>
      <c r="Q21" s="45"/>
      <c r="R21" s="45"/>
      <c r="S21" s="45"/>
      <c r="T21" s="45"/>
      <c r="U21" s="45"/>
      <c r="V21" s="45"/>
      <c r="W21" s="45"/>
      <c r="X21" s="45"/>
    </row>
    <row r="22" spans="1:24" ht="16" x14ac:dyDescent="0.2">
      <c r="A22" s="17"/>
      <c r="B22" s="214" t="s">
        <v>1241</v>
      </c>
      <c r="C22" s="215"/>
      <c r="D22" s="213"/>
      <c r="E22" s="17"/>
      <c r="F22" s="17"/>
      <c r="G22" s="17"/>
      <c r="H22" s="17"/>
      <c r="I22" s="17"/>
      <c r="J22" s="17"/>
      <c r="K22" s="17"/>
      <c r="L22" s="17"/>
      <c r="M22" s="17"/>
      <c r="N22" s="45"/>
      <c r="O22" s="45"/>
      <c r="P22" s="45"/>
      <c r="Q22" s="45"/>
      <c r="R22" s="45"/>
      <c r="S22" s="45"/>
      <c r="T22" s="45"/>
      <c r="U22" s="45"/>
      <c r="V22" s="45"/>
      <c r="W22" s="45"/>
      <c r="X22" s="45"/>
    </row>
    <row r="23" spans="1:24" x14ac:dyDescent="0.2">
      <c r="A23" s="17"/>
      <c r="B23" s="91" t="s">
        <v>1235</v>
      </c>
      <c r="C23" s="22"/>
      <c r="D23" s="17"/>
      <c r="E23" s="17"/>
      <c r="F23" s="17"/>
      <c r="G23" s="17"/>
      <c r="H23" s="17"/>
      <c r="I23" s="17"/>
      <c r="J23" s="17"/>
      <c r="K23" s="17"/>
      <c r="L23" s="17"/>
      <c r="M23" s="17"/>
      <c r="N23" s="45"/>
      <c r="O23" s="45"/>
      <c r="P23" s="45"/>
      <c r="Q23" s="45"/>
      <c r="R23" s="45"/>
      <c r="S23" s="45"/>
      <c r="T23" s="45"/>
      <c r="U23" s="45"/>
      <c r="V23" s="45"/>
      <c r="W23" s="45"/>
      <c r="X23" s="45"/>
    </row>
    <row r="24" spans="1:24" x14ac:dyDescent="0.2">
      <c r="A24" s="17"/>
      <c r="B24" s="91" t="s">
        <v>1242</v>
      </c>
      <c r="C24" s="22"/>
      <c r="D24" s="17"/>
      <c r="E24" s="17"/>
      <c r="F24" s="17"/>
      <c r="G24" s="17"/>
      <c r="H24" s="17"/>
      <c r="I24" s="17"/>
      <c r="J24" s="17"/>
      <c r="K24" s="17"/>
      <c r="L24" s="17"/>
      <c r="M24" s="17"/>
      <c r="N24" s="45"/>
      <c r="O24" s="45"/>
      <c r="P24" s="45"/>
      <c r="Q24" s="45"/>
      <c r="R24" s="45"/>
      <c r="S24" s="45"/>
      <c r="T24" s="45"/>
      <c r="U24" s="45"/>
      <c r="V24" s="45"/>
      <c r="W24" s="45"/>
      <c r="X24" s="45"/>
    </row>
    <row r="25" spans="1:24" x14ac:dyDescent="0.2">
      <c r="A25" s="17"/>
      <c r="B25" s="91" t="s">
        <v>1243</v>
      </c>
      <c r="C25" s="22"/>
      <c r="D25" s="17"/>
      <c r="E25" s="17"/>
      <c r="F25" s="17"/>
      <c r="G25" s="17"/>
      <c r="H25" s="17"/>
      <c r="I25" s="17"/>
      <c r="J25" s="17"/>
      <c r="K25" s="17"/>
      <c r="L25" s="17"/>
      <c r="M25" s="17"/>
      <c r="N25" s="45"/>
      <c r="O25" s="45"/>
      <c r="P25" s="45"/>
      <c r="Q25" s="45"/>
      <c r="R25" s="45"/>
      <c r="S25" s="45"/>
      <c r="T25" s="45"/>
      <c r="U25" s="45"/>
      <c r="V25" s="45"/>
      <c r="W25" s="45"/>
      <c r="X25" s="45"/>
    </row>
    <row r="26" spans="1:24" x14ac:dyDescent="0.2">
      <c r="A26" s="17"/>
      <c r="B26" s="91" t="s">
        <v>1244</v>
      </c>
      <c r="C26" s="22"/>
      <c r="D26" s="17"/>
      <c r="E26" s="17"/>
      <c r="F26" s="17"/>
      <c r="G26" s="17"/>
      <c r="H26" s="17"/>
      <c r="I26" s="17"/>
      <c r="J26" s="17"/>
      <c r="K26" s="17"/>
      <c r="L26" s="17"/>
      <c r="M26" s="17"/>
      <c r="N26" s="45"/>
      <c r="O26" s="45"/>
      <c r="P26" s="45"/>
      <c r="Q26" s="45"/>
      <c r="R26" s="45"/>
      <c r="S26" s="45"/>
      <c r="T26" s="45"/>
      <c r="U26" s="45"/>
      <c r="V26" s="45"/>
      <c r="W26" s="45"/>
      <c r="X26" s="45"/>
    </row>
    <row r="27" spans="1:24" x14ac:dyDescent="0.2">
      <c r="A27" s="17"/>
      <c r="B27" s="91" t="s">
        <v>1245</v>
      </c>
      <c r="C27" s="22"/>
      <c r="D27" s="17"/>
      <c r="E27" s="17"/>
      <c r="F27" s="17"/>
      <c r="G27" s="17"/>
      <c r="H27" s="17"/>
      <c r="I27" s="17"/>
      <c r="J27" s="17"/>
      <c r="K27" s="17"/>
      <c r="L27" s="17"/>
      <c r="M27" s="17"/>
      <c r="N27" s="45"/>
      <c r="O27" s="45"/>
      <c r="P27" s="45"/>
      <c r="Q27" s="45"/>
      <c r="R27" s="45"/>
      <c r="S27" s="45"/>
      <c r="T27" s="45"/>
      <c r="U27" s="45"/>
      <c r="V27" s="45"/>
      <c r="W27" s="45"/>
      <c r="X27" s="45"/>
    </row>
    <row r="28" spans="1:24" x14ac:dyDescent="0.2">
      <c r="A28" s="17"/>
      <c r="B28" s="91" t="s">
        <v>1246</v>
      </c>
      <c r="C28" s="22"/>
      <c r="D28" s="17"/>
      <c r="E28" s="17"/>
      <c r="F28" s="17"/>
      <c r="G28" s="17"/>
      <c r="H28" s="17"/>
      <c r="I28" s="17"/>
      <c r="J28" s="17"/>
      <c r="K28" s="17"/>
      <c r="L28" s="17"/>
      <c r="M28" s="17"/>
      <c r="N28" s="45"/>
      <c r="O28" s="45"/>
      <c r="P28" s="45"/>
      <c r="Q28" s="45"/>
      <c r="R28" s="45"/>
      <c r="S28" s="45"/>
      <c r="T28" s="45"/>
      <c r="U28" s="45"/>
      <c r="V28" s="45"/>
      <c r="W28" s="45"/>
      <c r="X28" s="45"/>
    </row>
    <row r="29" spans="1:24" x14ac:dyDescent="0.2">
      <c r="A29" s="17"/>
      <c r="B29" s="17"/>
      <c r="C29" s="17"/>
      <c r="D29" s="17"/>
      <c r="E29" s="17"/>
      <c r="F29" s="17"/>
      <c r="G29" s="17"/>
      <c r="H29" s="17"/>
      <c r="I29" s="17"/>
      <c r="J29" s="17"/>
      <c r="K29" s="17"/>
      <c r="L29" s="17"/>
      <c r="M29" s="17"/>
      <c r="N29" s="45"/>
      <c r="O29" s="45"/>
      <c r="P29" s="45"/>
      <c r="Q29" s="45"/>
      <c r="R29" s="45"/>
      <c r="S29" s="45"/>
      <c r="T29" s="45"/>
      <c r="U29" s="45"/>
      <c r="V29" s="45"/>
      <c r="W29" s="45"/>
      <c r="X29" s="45"/>
    </row>
    <row r="30" spans="1:24" ht="80" x14ac:dyDescent="0.2">
      <c r="A30" s="17"/>
      <c r="B30" s="216" t="s">
        <v>1247</v>
      </c>
      <c r="C30" s="216" t="s">
        <v>1248</v>
      </c>
      <c r="D30" s="217" t="s">
        <v>1249</v>
      </c>
      <c r="E30" s="217"/>
      <c r="F30" s="217"/>
      <c r="G30" s="217"/>
      <c r="H30" s="217"/>
      <c r="I30" s="217"/>
      <c r="J30" s="216" t="s">
        <v>1250</v>
      </c>
      <c r="K30" s="216" t="s">
        <v>1251</v>
      </c>
      <c r="L30" s="216" t="s">
        <v>1252</v>
      </c>
      <c r="M30" s="216" t="s">
        <v>1253</v>
      </c>
      <c r="N30" s="216" t="s">
        <v>1254</v>
      </c>
      <c r="O30" s="216" t="s">
        <v>1255</v>
      </c>
      <c r="P30" s="216" t="s">
        <v>1256</v>
      </c>
      <c r="Q30" s="216" t="s">
        <v>1257</v>
      </c>
      <c r="R30" s="218" t="s">
        <v>1258</v>
      </c>
      <c r="S30" s="216" t="s">
        <v>1259</v>
      </c>
      <c r="T30" s="216" t="s">
        <v>1260</v>
      </c>
      <c r="U30" s="216" t="s">
        <v>1261</v>
      </c>
      <c r="V30" s="216" t="s">
        <v>1262</v>
      </c>
      <c r="W30" s="216" t="s">
        <v>1263</v>
      </c>
      <c r="X30" s="216" t="s">
        <v>1264</v>
      </c>
    </row>
    <row r="31" spans="1:24" x14ac:dyDescent="0.2">
      <c r="A31" s="17"/>
      <c r="B31" s="219" t="s">
        <v>1235</v>
      </c>
      <c r="C31" s="219" t="s">
        <v>1235</v>
      </c>
      <c r="D31" s="220" t="s">
        <v>784</v>
      </c>
      <c r="E31" s="221"/>
      <c r="F31" s="221"/>
      <c r="G31" s="221"/>
      <c r="H31" s="221"/>
      <c r="I31" s="217"/>
      <c r="J31" s="222"/>
      <c r="K31" s="222"/>
      <c r="L31" s="222"/>
      <c r="M31" s="222"/>
      <c r="N31" s="222"/>
      <c r="O31" s="222"/>
      <c r="P31" s="222"/>
      <c r="Q31" s="222"/>
      <c r="R31" s="222"/>
      <c r="S31" s="222"/>
      <c r="T31" s="222"/>
      <c r="U31" s="222"/>
      <c r="V31" s="222"/>
      <c r="W31" s="222"/>
      <c r="X31" s="222"/>
    </row>
    <row r="32" spans="1:24" x14ac:dyDescent="0.2">
      <c r="A32" s="17"/>
      <c r="B32" s="219" t="s">
        <v>1265</v>
      </c>
      <c r="C32" s="219" t="s">
        <v>1266</v>
      </c>
      <c r="D32" s="220" t="str">
        <f>IF(L32&lt;&gt;"",J32&amp;": "&amp;L32)</f>
        <v>6.1: Develop AM systems that deliver 50% improved performance per unit cost compared to a conventionally produced part.</v>
      </c>
      <c r="E32" s="220" t="str">
        <f>IF(O32&lt;&gt;"",M32&amp;": "&amp;O32,"")</f>
        <v>6.2: Develop rapid qualification methodologies that reduce certification cost by 50%.</v>
      </c>
      <c r="F32" s="220" t="str">
        <f>IF(R32&lt;&gt;"",P32&amp;": "&amp;R32,"")</f>
        <v>6.3: Develop next-generation AM systems that deliver consistently reliable parts with predictable properties to six standard deviations (“six-sigma”) for specific applications.</v>
      </c>
      <c r="G32" s="220" t="str">
        <f>IF(U32&lt;&gt;"",S32&amp;": "&amp;U32,"")</f>
        <v/>
      </c>
      <c r="H32" s="220" t="str">
        <f>IF(X32&lt;&gt;"",V32&amp;": "&amp;X32,"")</f>
        <v/>
      </c>
      <c r="I32" s="223" t="s">
        <v>1267</v>
      </c>
      <c r="J32" s="224">
        <v>6.1</v>
      </c>
      <c r="K32" s="224" t="s">
        <v>1268</v>
      </c>
      <c r="L32" s="225" t="s">
        <v>1269</v>
      </c>
      <c r="M32" s="225">
        <v>6.2</v>
      </c>
      <c r="N32" s="225" t="s">
        <v>1268</v>
      </c>
      <c r="O32" s="225" t="s">
        <v>1270</v>
      </c>
      <c r="P32" s="225">
        <v>6.3</v>
      </c>
      <c r="Q32" s="225" t="s">
        <v>1268</v>
      </c>
      <c r="R32" s="225" t="s">
        <v>1271</v>
      </c>
      <c r="S32" s="225"/>
      <c r="T32" s="225"/>
      <c r="U32" s="225"/>
      <c r="V32" s="225"/>
      <c r="W32" s="225"/>
      <c r="X32" s="225"/>
    </row>
    <row r="33" spans="1:24" x14ac:dyDescent="0.2">
      <c r="A33" s="17"/>
      <c r="B33" s="219" t="s">
        <v>1272</v>
      </c>
      <c r="C33" s="219" t="s">
        <v>1273</v>
      </c>
      <c r="D33" s="220" t="str">
        <f t="shared" ref="D33:D49" si="0">IF(L33&lt;&gt;"",J33&amp;": "&amp;L33)</f>
        <v>5.1: Develop manufacturing processes for lightweight metals for light duty vehicles at a strength/weight ratio of at least 200 MPa/(g/cm3) at an added cost of no more than $7/kg of weight saved.</v>
      </c>
      <c r="E33" s="220" t="str">
        <f t="shared" ref="E33:E49" si="1">IF(O33&lt;&gt;"",M33&amp;": "&amp;O33,"")</f>
        <v>5.2: Develop scalable manufacturing processes for a range of materials with 15% or greater improved thermal or electrical conductivity.</v>
      </c>
      <c r="F33" s="220" t="str">
        <f t="shared" ref="F33:F49" si="2">IF(R33&lt;&gt;"",P33&amp;": "&amp;R33,"")</f>
        <v>5.3: Use existing modeling and simulation tools to accelerate capability of predicting material behavior (e.g., tensile strength, hardness, fatigue strength, corrosion, and toughness) as microstructure evolves during materials processing.</v>
      </c>
      <c r="G33" s="220" t="str">
        <f t="shared" ref="G33:G49" si="3">IF(U33&lt;&gt;"",S33&amp;": "&amp;U33,"")</f>
        <v>5.4: Develop new process technologies that can provide production quantities of commercial-scale atomically precise products.</v>
      </c>
      <c r="H33" s="220" t="str">
        <f t="shared" ref="H33:H49" si="4">IF(X33&lt;&gt;"",V33&amp;": "&amp;X33,"")</f>
        <v/>
      </c>
      <c r="I33" s="223" t="s">
        <v>1267</v>
      </c>
      <c r="J33" s="224">
        <v>5.0999999999999996</v>
      </c>
      <c r="K33" s="224" t="s">
        <v>1274</v>
      </c>
      <c r="L33" s="225" t="s">
        <v>1275</v>
      </c>
      <c r="M33" s="225">
        <v>5.2</v>
      </c>
      <c r="N33" s="225" t="s">
        <v>1268</v>
      </c>
      <c r="O33" s="225" t="s">
        <v>1276</v>
      </c>
      <c r="P33" s="225">
        <v>5.3</v>
      </c>
      <c r="Q33" s="225" t="s">
        <v>1274</v>
      </c>
      <c r="R33" s="225" t="s">
        <v>1277</v>
      </c>
      <c r="S33" s="225">
        <v>5.4</v>
      </c>
      <c r="T33" s="225" t="s">
        <v>1268</v>
      </c>
      <c r="U33" s="225" t="s">
        <v>1278</v>
      </c>
      <c r="V33" s="225"/>
      <c r="W33" s="225"/>
      <c r="X33" s="225"/>
    </row>
    <row r="34" spans="1:24" x14ac:dyDescent="0.2">
      <c r="A34" s="17"/>
      <c r="B34" s="219" t="s">
        <v>1279</v>
      </c>
      <c r="C34" s="219" t="s">
        <v>1280</v>
      </c>
      <c r="D34" s="220" t="str">
        <f t="shared" si="0"/>
        <v>11.1: Develop advanced sensors, controls, platforms, and models for targeted applications that reduce energy intensity (energy consumed per unit of physical output) by 15% compared to 2015 typical technology.</v>
      </c>
      <c r="E34" s="220" t="str">
        <f t="shared" si="1"/>
        <v>11.2: Reduce the cost of implementing Smart Manufacturing systems (advanced sensors, controls, platforms, and models) in existing processes by 50% compared to 2015 typical technology.</v>
      </c>
      <c r="F34" s="220" t="str">
        <f t="shared" si="2"/>
        <v/>
      </c>
      <c r="G34" s="220" t="str">
        <f t="shared" si="3"/>
        <v/>
      </c>
      <c r="H34" s="220" t="str">
        <f t="shared" si="4"/>
        <v/>
      </c>
      <c r="I34" s="223" t="s">
        <v>1267</v>
      </c>
      <c r="J34" s="224">
        <v>11.1</v>
      </c>
      <c r="K34" s="224" t="s">
        <v>1281</v>
      </c>
      <c r="L34" s="225" t="s">
        <v>1282</v>
      </c>
      <c r="M34" s="225">
        <v>11.2</v>
      </c>
      <c r="N34" s="225" t="s">
        <v>1281</v>
      </c>
      <c r="O34" s="225" t="s">
        <v>1283</v>
      </c>
      <c r="P34" s="225"/>
      <c r="Q34" s="225"/>
      <c r="R34" s="225"/>
      <c r="S34" s="225"/>
      <c r="T34" s="225"/>
      <c r="U34" s="225"/>
      <c r="V34" s="225"/>
      <c r="W34" s="225"/>
      <c r="X34" s="225"/>
    </row>
    <row r="35" spans="1:24" x14ac:dyDescent="0.2">
      <c r="A35" s="17"/>
      <c r="B35" s="219" t="s">
        <v>1284</v>
      </c>
      <c r="C35" s="219" t="s">
        <v>1285</v>
      </c>
      <c r="D35" s="220" t="str">
        <f t="shared" si="0"/>
        <v xml:space="preserve">13.1: Achieve a ten-fold cumulative increase in direct CHP technical support activities to potential commercial, institutional, and industrial end-users. </v>
      </c>
      <c r="E35" s="220" t="str">
        <f t="shared" si="1"/>
        <v>13.2: Advance the development of cost-effective CHP systems that are responsive to site demands as well as grid requirements.</v>
      </c>
      <c r="F35" s="220" t="str">
        <f t="shared" si="2"/>
        <v>13.3: Develop cost effective, high power-to-heat (P/H) ratio CHP systems with &gt;65% electric generation efficiency, &gt;75% system efficiency (HHV), and P/H &gt;= 1.</v>
      </c>
      <c r="G35" s="220" t="str">
        <f t="shared" si="3"/>
        <v>13.4: Support a 20% reduction in installed cost of commercially available, packaged (&lt;10 MW) CHP systems (while maintaining &gt;75% system efficiency at HHV).</v>
      </c>
      <c r="H35" s="220" t="str">
        <f t="shared" si="4"/>
        <v/>
      </c>
      <c r="I35" s="223" t="s">
        <v>1267</v>
      </c>
      <c r="J35" s="224">
        <v>13.1</v>
      </c>
      <c r="K35" s="224" t="s">
        <v>1286</v>
      </c>
      <c r="L35" s="225" t="s">
        <v>1287</v>
      </c>
      <c r="M35" s="225">
        <v>13.2</v>
      </c>
      <c r="N35" s="225" t="s">
        <v>1281</v>
      </c>
      <c r="O35" s="225" t="s">
        <v>1288</v>
      </c>
      <c r="P35" s="225">
        <v>13.3</v>
      </c>
      <c r="Q35" s="225" t="s">
        <v>1281</v>
      </c>
      <c r="R35" s="225" t="s">
        <v>1289</v>
      </c>
      <c r="S35" s="225">
        <v>13.4</v>
      </c>
      <c r="T35" s="225" t="s">
        <v>1290</v>
      </c>
      <c r="U35" s="225" t="s">
        <v>1291</v>
      </c>
      <c r="V35" s="225"/>
      <c r="W35" s="225"/>
      <c r="X35" s="225"/>
    </row>
    <row r="36" spans="1:24" x14ac:dyDescent="0.2">
      <c r="A36" s="17"/>
      <c r="B36" s="219" t="s">
        <v>1292</v>
      </c>
      <c r="C36" s="219" t="s">
        <v>1293</v>
      </c>
      <c r="D36" s="220" t="str">
        <f t="shared" si="0"/>
        <v>7.1: Reduce production cost of finished carbon fiber composite components for targeted energy-consuming applications by 50% compared to 2015 state-of-the-art technology.</v>
      </c>
      <c r="E36" s="220" t="str">
        <f t="shared" si="1"/>
        <v>7.2: Develop composite molding manufacturing process with &lt;1.5-minute part-to-part cycle time for a structural component with surface area &gt;0.5m2.</v>
      </c>
      <c r="F36" s="220" t="str">
        <f t="shared" si="2"/>
        <v xml:space="preserve">7.3: Develop manufacturing technologies that reduce the embodied energy and production-associated GHG emissions of carbon fiber reinforced polymer (CFRP) by 75% compared to 2015 typical technology. </v>
      </c>
      <c r="G36" s="220" t="str">
        <f t="shared" si="3"/>
        <v>7.4: Develop technologies that recycle or reuse &gt;95% of fiber reinforced polymer composites into useful components with projected cost and quality competitive with virgin materials.</v>
      </c>
      <c r="H36" s="220" t="str">
        <f t="shared" si="4"/>
        <v>7.5: Develop fiber reinforced polymer composites with projected cost and embodied energy parity with 2015 typical glass fiber composites and with performance of carbon fiber composites.</v>
      </c>
      <c r="I36" s="223" t="s">
        <v>1267</v>
      </c>
      <c r="J36" s="224">
        <v>7.1</v>
      </c>
      <c r="K36" s="224" t="s">
        <v>1294</v>
      </c>
      <c r="L36" s="225" t="s">
        <v>1295</v>
      </c>
      <c r="M36" s="225">
        <v>7.2</v>
      </c>
      <c r="N36" s="225" t="s">
        <v>1268</v>
      </c>
      <c r="O36" s="225" t="s">
        <v>1296</v>
      </c>
      <c r="P36" s="225">
        <v>7.3</v>
      </c>
      <c r="Q36" s="225" t="s">
        <v>1268</v>
      </c>
      <c r="R36" s="225" t="s">
        <v>1297</v>
      </c>
      <c r="S36" s="225">
        <v>7.4</v>
      </c>
      <c r="T36" s="224" t="s">
        <v>1294</v>
      </c>
      <c r="U36" s="225" t="s">
        <v>1298</v>
      </c>
      <c r="V36" s="225">
        <v>7.5</v>
      </c>
      <c r="W36" s="225" t="s">
        <v>1268</v>
      </c>
      <c r="X36" s="225" t="s">
        <v>1299</v>
      </c>
    </row>
    <row r="37" spans="1:24" x14ac:dyDescent="0.2">
      <c r="A37" s="45"/>
      <c r="B37" s="219" t="s">
        <v>1300</v>
      </c>
      <c r="C37" s="219" t="s">
        <v>1301</v>
      </c>
      <c r="D37" s="220" t="str">
        <f t="shared" si="0"/>
        <v>1.1: Develop processing technologies for neodymium and other critical materials needed to meet U.S. energy requirements.</v>
      </c>
      <c r="E37" s="220" t="str">
        <f t="shared" si="1"/>
        <v>1.2: Develop a new phosphor that requires one-tenth critical rare earth elements compared to current fluorescent lamp phosphors.</v>
      </c>
      <c r="F37" s="220" t="str">
        <f t="shared" si="2"/>
        <v>1.3: Develop substitute materials for rare earth permanent magnets that exhibit properties similar to current magnets, but contain one-tenth rare earth/critical materials compared to 2015 state-of-the-art materials.</v>
      </c>
      <c r="G37" s="220" t="str">
        <f t="shared" si="3"/>
        <v>1.4: Recover and recycle materials from end-of-life (EOL) products and manufacturing waste to increase domestic availability of critical materials for energy technologies by 20%.</v>
      </c>
      <c r="H37" s="220" t="str">
        <f t="shared" si="4"/>
        <v/>
      </c>
      <c r="I37" s="223" t="s">
        <v>1267</v>
      </c>
      <c r="J37" s="224">
        <v>1.1000000000000001</v>
      </c>
      <c r="K37" s="224" t="s">
        <v>1302</v>
      </c>
      <c r="L37" s="225" t="s">
        <v>1303</v>
      </c>
      <c r="M37" s="225">
        <v>1.2</v>
      </c>
      <c r="N37" s="224" t="s">
        <v>1302</v>
      </c>
      <c r="O37" s="225" t="s">
        <v>1304</v>
      </c>
      <c r="P37" s="225">
        <v>1.3</v>
      </c>
      <c r="Q37" s="224" t="s">
        <v>1302</v>
      </c>
      <c r="R37" s="225" t="s">
        <v>1305</v>
      </c>
      <c r="S37" s="225">
        <v>1.4</v>
      </c>
      <c r="T37" s="224" t="s">
        <v>1302</v>
      </c>
      <c r="U37" s="225" t="s">
        <v>1306</v>
      </c>
      <c r="V37" s="225"/>
      <c r="W37" s="225"/>
      <c r="X37" s="225"/>
    </row>
    <row r="38" spans="1:24" x14ac:dyDescent="0.2">
      <c r="A38" s="45"/>
      <c r="B38" s="219" t="s">
        <v>1307</v>
      </c>
      <c r="C38" s="219" t="s">
        <v>1308</v>
      </c>
      <c r="D38" s="220" t="str">
        <f t="shared" si="0"/>
        <v>2.1: Develop direct thermal energy conversion systems with energy efficiencies greater than 30%.</v>
      </c>
      <c r="E38" s="220" t="str">
        <f t="shared" si="1"/>
        <v>2.2: Develop systems for industrial refrigeration with energy efficiency greater than 30% over vapor-compression systems.</v>
      </c>
      <c r="F38" s="220" t="str">
        <f t="shared" si="2"/>
        <v>2.3: Develop waste heat recovery direct thermal energy conversion systems with modeled deployment cost of less than $1/W.</v>
      </c>
      <c r="G38" s="220" t="str">
        <f t="shared" si="3"/>
        <v>2.4: Bring heat pump direct energy conversion systems to cost parity with conventional commercial technologies.</v>
      </c>
      <c r="H38" s="220" t="str">
        <f t="shared" si="4"/>
        <v>2.5: Develop caloric materials, integrated devices, and systems that require applied field strengths 30%–50 % lower than 2015 baselines.</v>
      </c>
      <c r="I38" s="223" t="s">
        <v>1267</v>
      </c>
      <c r="J38" s="224">
        <v>2.1</v>
      </c>
      <c r="K38" s="224" t="s">
        <v>1268</v>
      </c>
      <c r="L38" s="225" t="s">
        <v>1309</v>
      </c>
      <c r="M38" s="225">
        <v>2.2000000000000002</v>
      </c>
      <c r="N38" s="225" t="s">
        <v>1274</v>
      </c>
      <c r="O38" s="225" t="s">
        <v>1310</v>
      </c>
      <c r="P38" s="225">
        <v>2.2999999999999998</v>
      </c>
      <c r="Q38" s="225" t="s">
        <v>1268</v>
      </c>
      <c r="R38" s="225" t="s">
        <v>1311</v>
      </c>
      <c r="S38" s="225">
        <v>2.4</v>
      </c>
      <c r="T38" s="225" t="s">
        <v>1274</v>
      </c>
      <c r="U38" s="225" t="s">
        <v>1312</v>
      </c>
      <c r="V38" s="225">
        <v>2.5</v>
      </c>
      <c r="W38" s="225" t="s">
        <v>1274</v>
      </c>
      <c r="X38" s="225" t="s">
        <v>1313</v>
      </c>
    </row>
    <row r="39" spans="1:24" x14ac:dyDescent="0.2">
      <c r="A39" s="45"/>
      <c r="B39" s="219" t="s">
        <v>1314</v>
      </c>
      <c r="C39" s="219" t="s">
        <v>1315</v>
      </c>
      <c r="D39" s="220" t="str">
        <f t="shared" si="0"/>
        <v>4.1: Accelerate by 50% the ability to predict a material’s response (microstructure and properties) to a change in conditions in selected applications or materials classes.</v>
      </c>
      <c r="E39" s="220" t="str">
        <f t="shared" si="1"/>
        <v>4.2: Accelerate the process of materials development by 50% to improve performance in selected applications or materials classes.</v>
      </c>
      <c r="F39" s="220" t="str">
        <f t="shared" si="2"/>
        <v>4.3: Achieve performance-based cost parity for the manufacture of alternate materials and parts for use in harsh service conditions in selected applications or materials classes.</v>
      </c>
      <c r="G39" s="220" t="str">
        <f t="shared" si="3"/>
        <v/>
      </c>
      <c r="H39" s="220" t="str">
        <f t="shared" si="4"/>
        <v/>
      </c>
      <c r="I39" s="223" t="s">
        <v>1267</v>
      </c>
      <c r="J39" s="224">
        <v>4.0999999999999996</v>
      </c>
      <c r="K39" s="224" t="s">
        <v>1274</v>
      </c>
      <c r="L39" s="225" t="s">
        <v>1316</v>
      </c>
      <c r="M39" s="225">
        <v>4.2</v>
      </c>
      <c r="N39" s="225" t="s">
        <v>1274</v>
      </c>
      <c r="O39" s="225" t="s">
        <v>1317</v>
      </c>
      <c r="P39" s="225">
        <v>4.3</v>
      </c>
      <c r="Q39" s="225" t="s">
        <v>1302</v>
      </c>
      <c r="R39" s="225" t="s">
        <v>1318</v>
      </c>
      <c r="S39" s="225"/>
      <c r="T39" s="225"/>
      <c r="U39" s="225"/>
      <c r="V39" s="225"/>
      <c r="W39" s="225"/>
      <c r="X39" s="225"/>
    </row>
    <row r="40" spans="1:24" x14ac:dyDescent="0.2">
      <c r="A40" s="45"/>
      <c r="B40" s="219" t="s">
        <v>1319</v>
      </c>
      <c r="C40" s="219" t="s">
        <v>1320</v>
      </c>
      <c r="D40" s="220" t="str">
        <f t="shared" si="0"/>
        <v>10.1: Develop low-thermal-budget manufacturing technologies that reduce energy intensity (energy consumed per unit of physical output) by at least 50% compared to 2015 typical technology.</v>
      </c>
      <c r="E40" s="220" t="str">
        <f t="shared" si="1"/>
        <v>10.2: Develop advanced process heating unit operations that provide improved properties, quality, and/or product value at cost parity to conventional techniques.</v>
      </c>
      <c r="F40" s="220" t="str">
        <f t="shared" si="2"/>
        <v/>
      </c>
      <c r="G40" s="220" t="str">
        <f t="shared" si="3"/>
        <v/>
      </c>
      <c r="H40" s="220" t="str">
        <f t="shared" si="4"/>
        <v/>
      </c>
      <c r="I40" s="223" t="s">
        <v>1267</v>
      </c>
      <c r="J40" s="224">
        <v>10.1</v>
      </c>
      <c r="K40" s="224" t="s">
        <v>1281</v>
      </c>
      <c r="L40" s="225" t="s">
        <v>1321</v>
      </c>
      <c r="M40" s="225">
        <v>10.199999999999999</v>
      </c>
      <c r="N40" s="225" t="s">
        <v>1274</v>
      </c>
      <c r="O40" s="225" t="s">
        <v>1322</v>
      </c>
      <c r="P40" s="225"/>
      <c r="Q40" s="225"/>
      <c r="R40" s="225"/>
      <c r="S40" s="225"/>
      <c r="T40" s="225"/>
      <c r="U40" s="225"/>
      <c r="V40" s="225"/>
      <c r="W40" s="225"/>
      <c r="X40" s="225"/>
    </row>
    <row r="41" spans="1:24" x14ac:dyDescent="0.2">
      <c r="A41" s="45"/>
      <c r="B41" s="219" t="s">
        <v>1323</v>
      </c>
      <c r="C41" s="219" t="s">
        <v>1324</v>
      </c>
      <c r="D41" s="220" t="str">
        <f t="shared" si="0"/>
        <v xml:space="preserve">9.1: Develop and validate process intensification technologies with an order of magnitude energy efficiency (% energy use reduction to produce a unit of output) improvement relative to 2015 typical technology. </v>
      </c>
      <c r="E41" s="220" t="str">
        <f t="shared" si="1"/>
        <v xml:space="preserve">9.2: Develop and validate modular process intensification technologies that double energy productivity (economic output per unit energy input). </v>
      </c>
      <c r="F41" s="220" t="str">
        <f t="shared" si="2"/>
        <v>9.3: Develop modular process intensification technologies with capital and operating cost parity relative to 2015 state-of-the-art for selected existing processes.</v>
      </c>
      <c r="G41" s="220" t="str">
        <f t="shared" si="3"/>
        <v>9.4: Develop technologies that optimize catalyst conversion rates, selectivity, activity, and stability, and enable at least 20% improvement in energy intensity compared to 2015 state-of-the-art technology.</v>
      </c>
      <c r="H41" s="220" t="str">
        <f t="shared" si="4"/>
        <v/>
      </c>
      <c r="I41" s="223" t="s">
        <v>1267</v>
      </c>
      <c r="J41" s="224">
        <v>9.1</v>
      </c>
      <c r="K41" s="224" t="s">
        <v>1281</v>
      </c>
      <c r="L41" s="225" t="s">
        <v>1325</v>
      </c>
      <c r="M41" s="225">
        <v>9.1999999999999993</v>
      </c>
      <c r="N41" s="225" t="s">
        <v>1281</v>
      </c>
      <c r="O41" s="225" t="s">
        <v>1326</v>
      </c>
      <c r="P41" s="225">
        <v>9.3000000000000007</v>
      </c>
      <c r="Q41" s="225" t="s">
        <v>1281</v>
      </c>
      <c r="R41" s="225" t="s">
        <v>1327</v>
      </c>
      <c r="S41" s="225">
        <v>9.4</v>
      </c>
      <c r="T41" s="225" t="s">
        <v>1281</v>
      </c>
      <c r="U41" s="225" t="s">
        <v>1328</v>
      </c>
      <c r="V41" s="225"/>
      <c r="W41" s="225"/>
      <c r="X41" s="225"/>
    </row>
    <row r="42" spans="1:24" x14ac:dyDescent="0.2">
      <c r="A42" s="45"/>
      <c r="B42" s="219" t="s">
        <v>1329</v>
      </c>
      <c r="C42" s="219" t="s">
        <v>1330</v>
      </c>
      <c r="D42" s="220" t="str">
        <f t="shared" si="0"/>
        <v>8.1: Develop technologies to reduce the cost per manufactured throughput of continuous R2R manufacturing processes for selected products by 50% concurrent with a 10X production capacity increase compared to 2015 typical technology.</v>
      </c>
      <c r="E42" s="220" t="str">
        <f t="shared" si="1"/>
        <v>8.2: Develop in-line instrumentation tools that will evaluate the quality of single and multi-layer materials in-process with respect to final product performance and functionality against performance specifications at a 100% level.</v>
      </c>
      <c r="F42" s="220" t="str">
        <f t="shared" si="2"/>
        <v/>
      </c>
      <c r="G42" s="220" t="str">
        <f t="shared" si="3"/>
        <v/>
      </c>
      <c r="H42" s="220" t="str">
        <f t="shared" si="4"/>
        <v/>
      </c>
      <c r="I42" s="223" t="s">
        <v>1267</v>
      </c>
      <c r="J42" s="224">
        <v>8.1</v>
      </c>
      <c r="K42" s="224" t="s">
        <v>1281</v>
      </c>
      <c r="L42" s="225" t="s">
        <v>1331</v>
      </c>
      <c r="M42" s="225">
        <v>8.1999999999999993</v>
      </c>
      <c r="N42" s="225" t="s">
        <v>1281</v>
      </c>
      <c r="O42" s="225" t="s">
        <v>1332</v>
      </c>
      <c r="P42" s="225"/>
      <c r="Q42" s="225"/>
      <c r="R42" s="225"/>
      <c r="S42" s="225"/>
      <c r="T42" s="225"/>
      <c r="U42" s="225"/>
      <c r="V42" s="225"/>
      <c r="W42" s="225"/>
      <c r="X42" s="225"/>
    </row>
    <row r="43" spans="1:24" x14ac:dyDescent="0.2">
      <c r="A43" s="45"/>
      <c r="B43" s="219" t="s">
        <v>1333</v>
      </c>
      <c r="C43" s="219" t="s">
        <v>1334</v>
      </c>
      <c r="D43" s="220" t="str">
        <f t="shared" si="0"/>
        <v>14.1: Develop material reuse, recycling, remanufacturing, and/or reprocessing technologies that enable an absolute increase in recycling rate by 30% of select energy-intensive materials and 25% improvement in embodied-energy efficiency.</v>
      </c>
      <c r="E43" s="220" t="str">
        <f t="shared" si="1"/>
        <v>14.2: Develop tools and technologies to reduce the cost of using recycled feedstocks in existing processes to cost parity (including energy) with primary feedstocks.</v>
      </c>
      <c r="F43" s="220" t="str">
        <f t="shared" si="2"/>
        <v>14.3: Develop technologies and targeted end use products that have the potential to improve material efficiency compared to 2015 state-of-the-art, resulting in 10x reduction in primary material feedstock and 20% lower GHG emissions.</v>
      </c>
      <c r="G43" s="220" t="str">
        <f t="shared" si="3"/>
        <v>14.4: Develop technologies and targeted end use products that have the potential to reduce water intensity compared to 2015 state-of-the-art.</v>
      </c>
      <c r="H43" s="220" t="str">
        <f t="shared" si="4"/>
        <v/>
      </c>
      <c r="I43" s="223" t="s">
        <v>1267</v>
      </c>
      <c r="J43" s="224">
        <v>14.1</v>
      </c>
      <c r="K43" s="224" t="s">
        <v>1274</v>
      </c>
      <c r="L43" s="225" t="s">
        <v>1335</v>
      </c>
      <c r="M43" s="225">
        <v>14.2</v>
      </c>
      <c r="N43" s="225" t="s">
        <v>1274</v>
      </c>
      <c r="O43" s="225" t="s">
        <v>1336</v>
      </c>
      <c r="P43" s="225">
        <v>14.3</v>
      </c>
      <c r="Q43" s="225" t="s">
        <v>1274</v>
      </c>
      <c r="R43" s="225" t="s">
        <v>1337</v>
      </c>
      <c r="S43" s="225">
        <v>14.4</v>
      </c>
      <c r="T43" s="225" t="s">
        <v>1338</v>
      </c>
      <c r="U43" s="225" t="s">
        <v>1339</v>
      </c>
      <c r="V43" s="225"/>
      <c r="W43" s="225"/>
      <c r="X43" s="225"/>
    </row>
    <row r="44" spans="1:24" x14ac:dyDescent="0.2">
      <c r="A44" s="45"/>
      <c r="B44" s="219" t="s">
        <v>1340</v>
      </c>
      <c r="C44" s="219" t="s">
        <v>1341</v>
      </c>
      <c r="D44" s="220" t="str">
        <f t="shared" si="0"/>
        <v>12.1: Develop enabling technologies for low maintenance, high reliability recovery systems for industrial waste heat streams, and reduce payback period by at least 30% compared to existing systems in various temperature ranges.</v>
      </c>
      <c r="E44" s="220" t="str">
        <f t="shared" si="1"/>
        <v>12.2: Develop material and system advancements to enable greater recovery from high-temperature (&gt;650°C) and heavily contaminated industrial waste heat streams, and cost-effectively utilize 30% of available waste heat in this temperature range.</v>
      </c>
      <c r="F44" s="220" t="str">
        <f t="shared" si="2"/>
        <v>12.3: Develop innovative, cost-effective systems to recover heat from low-temperature (&lt;230°C) waste heat sources and successfully utilize 20% of available waste heat in this temperature range.</v>
      </c>
      <c r="G44" s="220" t="str">
        <f t="shared" si="3"/>
        <v/>
      </c>
      <c r="H44" s="220" t="str">
        <f t="shared" si="4"/>
        <v/>
      </c>
      <c r="I44" s="223" t="s">
        <v>1267</v>
      </c>
      <c r="J44" s="224">
        <v>12.1</v>
      </c>
      <c r="K44" s="224" t="s">
        <v>1286</v>
      </c>
      <c r="L44" s="225" t="s">
        <v>1342</v>
      </c>
      <c r="M44" s="225">
        <v>12.2</v>
      </c>
      <c r="N44" s="225" t="s">
        <v>1286</v>
      </c>
      <c r="O44" s="225" t="s">
        <v>1343</v>
      </c>
      <c r="P44" s="225">
        <v>12.3</v>
      </c>
      <c r="Q44" s="225" t="s">
        <v>1286</v>
      </c>
      <c r="R44" s="225" t="s">
        <v>1344</v>
      </c>
      <c r="S44" s="225"/>
      <c r="T44" s="225"/>
      <c r="U44" s="225"/>
      <c r="V44" s="225"/>
      <c r="W44" s="225"/>
      <c r="X44" s="225"/>
    </row>
    <row r="45" spans="1:24" x14ac:dyDescent="0.2">
      <c r="A45" s="45"/>
      <c r="B45" s="219" t="s">
        <v>1345</v>
      </c>
      <c r="C45" s="219" t="s">
        <v>1346</v>
      </c>
      <c r="D45" s="220" t="str">
        <f t="shared" si="0"/>
        <v>3.1: Reduce volume and weight of targeted power electronic systems by 50% with respect to their silicon-based equivalents.</v>
      </c>
      <c r="E45" s="220" t="str">
        <f t="shared" si="1"/>
        <v>3.2: Increase the efficiency of targeted power electronic systems by 2%–3% (a reduction in losses of 28% or above) with respect to their silicon-based equivalents.</v>
      </c>
      <c r="F45" s="220" t="str">
        <f t="shared" si="2"/>
        <v>3.3: Validate a factor of 3 improvement in the reliability (failures reduced to one-third over 10 years) of targeted electrical devices produced at high volumes over their silicon-based equivalent.</v>
      </c>
      <c r="G45" s="220" t="str">
        <f t="shared" si="3"/>
        <v>3.4: Increase the efficiency of targeted electric machines by 2-3% (a reduction in losses of 28 – 75%).</v>
      </c>
      <c r="H45" s="220" t="str">
        <f t="shared" si="4"/>
        <v/>
      </c>
      <c r="I45" s="223" t="s">
        <v>1267</v>
      </c>
      <c r="J45" s="224">
        <v>3.1</v>
      </c>
      <c r="K45" s="224" t="s">
        <v>1286</v>
      </c>
      <c r="L45" s="225" t="s">
        <v>1347</v>
      </c>
      <c r="M45" s="225">
        <v>3.2</v>
      </c>
      <c r="N45" s="225" t="s">
        <v>1268</v>
      </c>
      <c r="O45" s="225" t="s">
        <v>1348</v>
      </c>
      <c r="P45" s="225">
        <v>3.3</v>
      </c>
      <c r="Q45" s="225" t="s">
        <v>1274</v>
      </c>
      <c r="R45" s="225" t="s">
        <v>1349</v>
      </c>
      <c r="S45" s="225">
        <v>3.4</v>
      </c>
      <c r="T45" s="225" t="s">
        <v>1281</v>
      </c>
      <c r="U45" s="225" t="s">
        <v>1350</v>
      </c>
      <c r="V45" s="225"/>
      <c r="W45" s="225"/>
      <c r="X45" s="225"/>
    </row>
    <row r="46" spans="1:24" x14ac:dyDescent="0.2">
      <c r="A46" s="45"/>
      <c r="B46" s="226" t="s">
        <v>1351</v>
      </c>
      <c r="C46" s="226" t="s">
        <v>1352</v>
      </c>
      <c r="D46" s="220" t="str">
        <f t="shared" si="0"/>
        <v>15.1: Provide water at &lt;500 mg/l TDS at a maximum cost of $0.10/m3 and 0.5 kWh/m3 for water from brackish sources.</v>
      </c>
      <c r="E46" s="220" t="str">
        <f t="shared" si="1"/>
        <v>15.2: Provide water at &lt;500 mg/l TDS at a cost of $0.50/m3 and 1 kWh/m3 for water from seawater.</v>
      </c>
      <c r="F46" s="220" t="str">
        <f t="shared" si="2"/>
        <v>15.3: Provide purified water from produced water sources for industrial use at processing costs below $1/m3 and 1 kWh/m3 to eliminate the need for well re-injection.</v>
      </c>
      <c r="G46" s="220" t="str">
        <f t="shared" si="3"/>
        <v xml:space="preserve">15.4: Research and develop advanced manufacturing technologies with potential to reduce cost for equipment and parts for water processing by 50%. </v>
      </c>
      <c r="H46" s="220" t="str">
        <f t="shared" si="4"/>
        <v>15.5: Reduce net energy consumption of waste water treatment by 50% in 10 years.</v>
      </c>
      <c r="I46" s="227" t="s">
        <v>1353</v>
      </c>
      <c r="J46" s="224">
        <v>15.1</v>
      </c>
      <c r="K46" s="224" t="s">
        <v>1302</v>
      </c>
      <c r="L46" s="225" t="s">
        <v>1354</v>
      </c>
      <c r="M46" s="225">
        <v>15.2</v>
      </c>
      <c r="N46" s="225" t="s">
        <v>1302</v>
      </c>
      <c r="O46" s="225" t="s">
        <v>1355</v>
      </c>
      <c r="P46" s="225">
        <v>15.3</v>
      </c>
      <c r="Q46" s="225" t="s">
        <v>1302</v>
      </c>
      <c r="R46" s="225" t="s">
        <v>1356</v>
      </c>
      <c r="S46" s="225">
        <v>15.4</v>
      </c>
      <c r="T46" s="225" t="s">
        <v>1302</v>
      </c>
      <c r="U46" s="225" t="s">
        <v>1357</v>
      </c>
      <c r="V46" s="225">
        <v>15.5</v>
      </c>
      <c r="W46" s="225" t="s">
        <v>1274</v>
      </c>
      <c r="X46" s="225" t="s">
        <v>1358</v>
      </c>
    </row>
    <row r="47" spans="1:24" x14ac:dyDescent="0.2">
      <c r="A47" s="45"/>
      <c r="B47" s="226" t="s">
        <v>1359</v>
      </c>
      <c r="C47" s="226" t="s">
        <v>1360</v>
      </c>
      <c r="D47" s="220" t="str">
        <f t="shared" si="0"/>
        <v>18.1: Achieve recorded adoption of cybersecurity standards and best practices by over half of U.S. manufacturers.</v>
      </c>
      <c r="E47" s="220" t="str">
        <f t="shared" si="1"/>
        <v>18.2: Double the annual number of Coordinated Vulnerability Disclosures (CVDs) involving manufacturers.</v>
      </c>
      <c r="F47" s="220" t="str">
        <f t="shared" si="2"/>
        <v>18.3: Increase overall energy efficiency in manufacturing processes through secure process automation.</v>
      </c>
      <c r="G47" s="220" t="str">
        <f t="shared" si="3"/>
        <v>18.4: Reduce the overall cost of implementation of state-of-the-art cybersecurity measures applicable to the manufacturing sector.</v>
      </c>
      <c r="H47" s="220" t="str">
        <f t="shared" si="4"/>
        <v>18.5: Reduce the mean time-to-detect and time-to-recover from cyber-attacks by half.</v>
      </c>
      <c r="I47" s="227" t="s">
        <v>1353</v>
      </c>
      <c r="J47" s="224">
        <v>18.100000000000001</v>
      </c>
      <c r="K47" s="224" t="s">
        <v>1361</v>
      </c>
      <c r="L47" s="225" t="s">
        <v>1362</v>
      </c>
      <c r="M47" s="225">
        <v>18.2</v>
      </c>
      <c r="N47" s="225" t="s">
        <v>1361</v>
      </c>
      <c r="O47" s="225" t="s">
        <v>1363</v>
      </c>
      <c r="P47" s="225">
        <v>18.3</v>
      </c>
      <c r="Q47" s="225" t="s">
        <v>1281</v>
      </c>
      <c r="R47" s="225" t="s">
        <v>1364</v>
      </c>
      <c r="S47" s="225">
        <v>18.399999999999999</v>
      </c>
      <c r="T47" s="225" t="s">
        <v>1281</v>
      </c>
      <c r="U47" s="225" t="s">
        <v>1365</v>
      </c>
      <c r="V47" s="225">
        <v>18.5</v>
      </c>
      <c r="W47" s="225" t="s">
        <v>1281</v>
      </c>
      <c r="X47" s="225" t="s">
        <v>1366</v>
      </c>
    </row>
    <row r="48" spans="1:24" x14ac:dyDescent="0.2">
      <c r="A48" s="45"/>
      <c r="B48" s="226" t="s">
        <v>1367</v>
      </c>
      <c r="C48" s="226" t="s">
        <v>1368</v>
      </c>
      <c r="D48" s="220" t="str">
        <f t="shared" si="0"/>
        <v>16.1: Develop technologies that will enable 10x improvement in computing energy efficiency over 2015 state of the art by 2025.</v>
      </c>
      <c r="E48" s="220" t="str">
        <f t="shared" si="1"/>
        <v>16.2: Develop transistors with switching energy that is 1% of current CMOS transistor energy.</v>
      </c>
      <c r="F48" s="220" t="str">
        <f t="shared" si="2"/>
        <v>16.3: Develop manufacturing methods for spintronics, plasmonics, and photonics computing devices.</v>
      </c>
      <c r="G48" s="220" t="str">
        <f t="shared" si="3"/>
        <v>16.4: Develop an advanced computing system with interconnect densities 1,000x higher than 2015 technology.</v>
      </c>
      <c r="H48" s="220" t="str">
        <f t="shared" si="4"/>
        <v>16.5: Develop basic neuromorphic integrated circuits with a footprint one-tenth of 2015 technology.</v>
      </c>
      <c r="I48" s="227" t="s">
        <v>1353</v>
      </c>
      <c r="J48" s="224">
        <v>16.100000000000001</v>
      </c>
      <c r="K48" s="224" t="s">
        <v>1268</v>
      </c>
      <c r="L48" s="225" t="s">
        <v>1369</v>
      </c>
      <c r="M48" s="225">
        <v>16.2</v>
      </c>
      <c r="N48" s="225" t="s">
        <v>1268</v>
      </c>
      <c r="O48" s="225" t="s">
        <v>1370</v>
      </c>
      <c r="P48" s="225">
        <v>16.3</v>
      </c>
      <c r="Q48" s="225" t="s">
        <v>1268</v>
      </c>
      <c r="R48" s="225" t="s">
        <v>1371</v>
      </c>
      <c r="S48" s="225">
        <v>16.399999999999999</v>
      </c>
      <c r="T48" s="225" t="s">
        <v>1268</v>
      </c>
      <c r="U48" s="225" t="s">
        <v>1372</v>
      </c>
      <c r="V48" s="225">
        <v>16.5</v>
      </c>
      <c r="W48" s="225" t="s">
        <v>1268</v>
      </c>
      <c r="X48" s="225" t="s">
        <v>1373</v>
      </c>
    </row>
    <row r="49" spans="1:24" x14ac:dyDescent="0.2">
      <c r="A49" s="45"/>
      <c r="B49" s="226" t="s">
        <v>1374</v>
      </c>
      <c r="C49" s="226" t="s">
        <v>1375</v>
      </c>
      <c r="D49" s="220" t="str">
        <f t="shared" si="0"/>
        <v>17.1: Develop a 1 megawatt (MW) electric motor, operating at 15,000 revolutions per minute (rpm), driven by a WBG-based, medium voltage (MV), variable speed drive (VSD), with a minimum system efficiency of 93%.</v>
      </c>
      <c r="E49" s="220" t="str">
        <f t="shared" si="1"/>
        <v>17.2: Develop advanced materials to enable significant reduction in motor energy losses.</v>
      </c>
      <c r="F49" s="220" t="str">
        <f t="shared" si="2"/>
        <v>17.3: Identify and advance innovative technologies to optimize motor system design and efficiency.</v>
      </c>
      <c r="G49" s="220" t="str">
        <f t="shared" si="3"/>
        <v/>
      </c>
      <c r="H49" s="220" t="str">
        <f t="shared" si="4"/>
        <v/>
      </c>
      <c r="I49" s="227" t="s">
        <v>1353</v>
      </c>
      <c r="J49" s="224">
        <v>17.100000000000001</v>
      </c>
      <c r="K49" s="224" t="s">
        <v>1286</v>
      </c>
      <c r="L49" s="225" t="s">
        <v>1376</v>
      </c>
      <c r="M49" s="225">
        <v>17.2</v>
      </c>
      <c r="N49" s="225" t="s">
        <v>1268</v>
      </c>
      <c r="O49" s="225" t="s">
        <v>1377</v>
      </c>
      <c r="P49" s="225">
        <v>17.3</v>
      </c>
      <c r="Q49" s="225" t="s">
        <v>1286</v>
      </c>
      <c r="R49" s="225" t="s">
        <v>1378</v>
      </c>
      <c r="S49" s="225"/>
      <c r="T49" s="225"/>
      <c r="U49" s="225"/>
      <c r="V49" s="225"/>
      <c r="W49" s="225"/>
      <c r="X49" s="225"/>
    </row>
    <row r="50" spans="1:24" x14ac:dyDescent="0.2">
      <c r="A50" s="45"/>
      <c r="B50" s="226" t="s">
        <v>1379</v>
      </c>
      <c r="C50" s="226" t="s">
        <v>1380</v>
      </c>
      <c r="D50" s="220" t="s">
        <v>784</v>
      </c>
      <c r="E50" s="220"/>
      <c r="F50" s="220"/>
      <c r="G50" s="220"/>
      <c r="H50" s="220" t="str">
        <f t="shared" ref="H50" si="5">IF(X50&lt;&gt;"",V50&amp;" ("&amp;W50&amp;"): "&amp;X50,"")</f>
        <v/>
      </c>
      <c r="I50" s="220" t="s">
        <v>784</v>
      </c>
      <c r="J50" s="224"/>
      <c r="K50" s="224"/>
      <c r="L50" s="224"/>
      <c r="M50" s="224"/>
      <c r="N50" s="224"/>
      <c r="O50" s="224"/>
      <c r="P50" s="224"/>
      <c r="Q50" s="224"/>
      <c r="R50" s="224"/>
      <c r="S50" s="224"/>
      <c r="T50" s="224"/>
      <c r="U50" s="224"/>
      <c r="V50" s="224"/>
      <c r="W50" s="224"/>
      <c r="X50" s="224"/>
    </row>
    <row r="51" spans="1:24" x14ac:dyDescent="0.2">
      <c r="A51" s="45"/>
      <c r="B51" s="45"/>
      <c r="C51" s="45"/>
      <c r="D51" s="45"/>
      <c r="E51" s="45"/>
      <c r="F51" s="45"/>
      <c r="G51" s="45"/>
      <c r="H51" s="45"/>
      <c r="I51" s="45"/>
      <c r="J51" s="45"/>
      <c r="K51" s="45"/>
      <c r="L51" s="45"/>
      <c r="M51" s="45"/>
      <c r="N51" s="45"/>
      <c r="O51" s="45"/>
      <c r="P51" s="45"/>
      <c r="Q51" s="45"/>
      <c r="R51" s="45"/>
      <c r="S51" s="45"/>
      <c r="T51" s="45"/>
      <c r="U51" s="45"/>
      <c r="V51" s="45"/>
      <c r="W51" s="45"/>
      <c r="X51" s="45"/>
    </row>
    <row r="52" spans="1:24" ht="16" x14ac:dyDescent="0.2">
      <c r="A52" s="45"/>
      <c r="B52" s="216" t="s">
        <v>1247</v>
      </c>
      <c r="C52" s="216" t="s">
        <v>1381</v>
      </c>
      <c r="D52" s="228" t="s">
        <v>1382</v>
      </c>
      <c r="E52" s="45"/>
      <c r="F52" s="45"/>
      <c r="G52" s="45"/>
      <c r="H52" s="45"/>
      <c r="I52" s="45"/>
      <c r="J52" s="45"/>
      <c r="K52" s="45"/>
      <c r="L52" s="45"/>
      <c r="M52" s="45"/>
      <c r="N52" s="45"/>
      <c r="O52" s="45"/>
      <c r="P52" s="45"/>
      <c r="Q52" s="45"/>
      <c r="R52" s="45"/>
      <c r="S52" s="45"/>
      <c r="T52" s="45"/>
      <c r="U52" s="45"/>
      <c r="V52" s="45"/>
      <c r="W52" s="45"/>
      <c r="X52" s="45"/>
    </row>
    <row r="53" spans="1:24" x14ac:dyDescent="0.2">
      <c r="A53" s="45"/>
      <c r="B53" s="219" t="s">
        <v>1235</v>
      </c>
      <c r="C53" s="219" t="s">
        <v>1235</v>
      </c>
      <c r="D53" s="45"/>
      <c r="E53" s="45"/>
      <c r="F53" s="45"/>
      <c r="G53" s="45"/>
      <c r="H53" s="45"/>
      <c r="I53" s="45"/>
      <c r="J53" s="45"/>
      <c r="K53" s="45"/>
      <c r="L53" s="45"/>
      <c r="M53" s="45"/>
      <c r="N53" s="45"/>
      <c r="O53" s="45"/>
      <c r="P53" s="45"/>
      <c r="Q53" s="45"/>
      <c r="R53" s="45"/>
      <c r="S53" s="45"/>
      <c r="T53" s="45"/>
      <c r="U53" s="45"/>
      <c r="V53" s="45"/>
      <c r="W53" s="45"/>
      <c r="X53" s="45"/>
    </row>
    <row r="54" spans="1:24" x14ac:dyDescent="0.2">
      <c r="A54" s="45"/>
      <c r="B54" s="219" t="s">
        <v>1265</v>
      </c>
      <c r="C54" s="219" t="s">
        <v>1383</v>
      </c>
      <c r="D54" s="225" t="s">
        <v>1384</v>
      </c>
      <c r="E54" s="225" t="s">
        <v>1385</v>
      </c>
      <c r="F54" s="225" t="s">
        <v>1386</v>
      </c>
      <c r="G54" s="225" t="s">
        <v>1387</v>
      </c>
      <c r="H54" s="225" t="s">
        <v>1388</v>
      </c>
      <c r="I54" s="225" t="s">
        <v>1389</v>
      </c>
      <c r="J54" s="225" t="s">
        <v>1390</v>
      </c>
      <c r="K54" s="225" t="s">
        <v>1391</v>
      </c>
      <c r="L54" s="45"/>
      <c r="M54" s="45"/>
      <c r="N54" s="45"/>
      <c r="O54" s="45"/>
      <c r="P54" s="45"/>
      <c r="Q54" s="45"/>
      <c r="R54" s="45"/>
      <c r="S54" s="45"/>
      <c r="T54" s="45"/>
      <c r="U54" s="45"/>
      <c r="V54" s="45"/>
      <c r="W54" s="45"/>
      <c r="X54" s="45"/>
    </row>
    <row r="55" spans="1:24" x14ac:dyDescent="0.2">
      <c r="A55" s="45"/>
      <c r="B55" s="219" t="s">
        <v>1272</v>
      </c>
      <c r="C55" s="219" t="s">
        <v>1392</v>
      </c>
      <c r="D55" s="225" t="s">
        <v>1393</v>
      </c>
      <c r="E55" s="225" t="s">
        <v>1394</v>
      </c>
      <c r="F55" s="225" t="s">
        <v>1395</v>
      </c>
      <c r="G55" s="225" t="s">
        <v>1396</v>
      </c>
      <c r="H55" s="225" t="s">
        <v>1397</v>
      </c>
      <c r="I55" s="225" t="s">
        <v>1398</v>
      </c>
      <c r="J55" s="225" t="s">
        <v>1399</v>
      </c>
      <c r="K55" s="225" t="s">
        <v>1400</v>
      </c>
      <c r="L55" s="225"/>
      <c r="M55" s="225"/>
      <c r="N55" s="225"/>
      <c r="O55" s="225"/>
      <c r="P55" s="225"/>
      <c r="Q55" s="225"/>
      <c r="R55" s="45"/>
      <c r="S55" s="45"/>
      <c r="T55" s="45"/>
      <c r="U55" s="45"/>
      <c r="V55" s="45"/>
      <c r="W55" s="45"/>
      <c r="X55" s="45"/>
    </row>
    <row r="56" spans="1:24" x14ac:dyDescent="0.2">
      <c r="A56" s="45"/>
      <c r="B56" s="219" t="s">
        <v>1279</v>
      </c>
      <c r="C56" s="219" t="s">
        <v>1401</v>
      </c>
      <c r="D56" s="225" t="s">
        <v>1402</v>
      </c>
      <c r="E56" s="225" t="s">
        <v>1403</v>
      </c>
      <c r="F56" s="225" t="s">
        <v>1404</v>
      </c>
      <c r="G56" s="225" t="s">
        <v>1405</v>
      </c>
      <c r="H56" s="225" t="s">
        <v>1406</v>
      </c>
      <c r="I56" s="225" t="s">
        <v>1407</v>
      </c>
      <c r="J56" s="45"/>
      <c r="K56" s="45"/>
      <c r="L56" s="45"/>
      <c r="M56" s="45"/>
      <c r="N56" s="45"/>
      <c r="O56" s="45"/>
      <c r="P56" s="45"/>
      <c r="Q56" s="45"/>
      <c r="R56" s="45"/>
      <c r="S56" s="45"/>
      <c r="T56" s="45"/>
      <c r="U56" s="45"/>
      <c r="V56" s="45"/>
      <c r="W56" s="45"/>
      <c r="X56" s="45"/>
    </row>
    <row r="57" spans="1:24" x14ac:dyDescent="0.2">
      <c r="A57" s="45"/>
      <c r="B57" s="219" t="s">
        <v>1284</v>
      </c>
      <c r="C57" s="219" t="s">
        <v>1408</v>
      </c>
      <c r="D57" s="225" t="s">
        <v>1409</v>
      </c>
      <c r="E57" s="225" t="s">
        <v>1410</v>
      </c>
      <c r="F57" s="225" t="s">
        <v>1411</v>
      </c>
      <c r="G57" s="225" t="s">
        <v>1412</v>
      </c>
      <c r="H57" s="225" t="s">
        <v>1413</v>
      </c>
      <c r="I57" s="225" t="s">
        <v>1414</v>
      </c>
      <c r="J57" s="225" t="s">
        <v>1415</v>
      </c>
      <c r="K57" s="225" t="s">
        <v>1416</v>
      </c>
      <c r="L57" s="225" t="s">
        <v>1417</v>
      </c>
      <c r="M57" s="225" t="s">
        <v>1418</v>
      </c>
      <c r="N57" s="45"/>
      <c r="O57" s="45"/>
      <c r="P57" s="45"/>
      <c r="Q57" s="45"/>
      <c r="R57" s="45"/>
      <c r="S57" s="45"/>
      <c r="T57" s="45"/>
      <c r="U57" s="45"/>
      <c r="V57" s="45"/>
      <c r="W57" s="45"/>
      <c r="X57" s="45"/>
    </row>
    <row r="58" spans="1:24" x14ac:dyDescent="0.2">
      <c r="A58" s="45"/>
      <c r="B58" s="219" t="s">
        <v>1292</v>
      </c>
      <c r="C58" s="219" t="s">
        <v>1419</v>
      </c>
      <c r="D58" s="225" t="s">
        <v>1420</v>
      </c>
      <c r="E58" s="225" t="s">
        <v>1421</v>
      </c>
      <c r="F58" s="225" t="s">
        <v>1422</v>
      </c>
      <c r="G58" s="225" t="s">
        <v>1423</v>
      </c>
      <c r="H58" s="225" t="s">
        <v>1424</v>
      </c>
      <c r="I58" s="225" t="s">
        <v>1425</v>
      </c>
      <c r="J58" s="225" t="s">
        <v>1426</v>
      </c>
      <c r="K58" s="45"/>
      <c r="L58" s="45"/>
      <c r="M58" s="45"/>
      <c r="N58" s="45"/>
      <c r="O58" s="45"/>
      <c r="P58" s="45"/>
      <c r="Q58" s="45"/>
      <c r="R58" s="45"/>
      <c r="S58" s="45"/>
      <c r="T58" s="45"/>
      <c r="U58" s="45"/>
      <c r="V58" s="45"/>
      <c r="W58" s="45"/>
      <c r="X58" s="45"/>
    </row>
    <row r="59" spans="1:24" x14ac:dyDescent="0.2">
      <c r="A59" s="45"/>
      <c r="B59" s="219" t="s">
        <v>1300</v>
      </c>
      <c r="C59" s="219" t="s">
        <v>1427</v>
      </c>
      <c r="D59" s="225" t="s">
        <v>1428</v>
      </c>
      <c r="E59" s="225" t="s">
        <v>1429</v>
      </c>
      <c r="F59" s="225" t="s">
        <v>1430</v>
      </c>
      <c r="G59" s="225" t="s">
        <v>1431</v>
      </c>
      <c r="H59" s="225" t="s">
        <v>1432</v>
      </c>
      <c r="I59" s="225" t="s">
        <v>1433</v>
      </c>
      <c r="J59" s="225" t="s">
        <v>1434</v>
      </c>
      <c r="K59" s="45"/>
      <c r="L59" s="45"/>
      <c r="M59" s="45"/>
      <c r="N59" s="45"/>
      <c r="O59" s="45"/>
      <c r="P59" s="45"/>
      <c r="Q59" s="45"/>
      <c r="R59" s="45"/>
      <c r="S59" s="45"/>
      <c r="T59" s="45"/>
      <c r="U59" s="45"/>
      <c r="V59" s="45"/>
      <c r="W59" s="45"/>
      <c r="X59" s="45"/>
    </row>
    <row r="60" spans="1:24" x14ac:dyDescent="0.2">
      <c r="A60" s="45"/>
      <c r="B60" s="219" t="s">
        <v>1307</v>
      </c>
      <c r="C60" s="219" t="s">
        <v>1435</v>
      </c>
      <c r="D60" s="229" t="s">
        <v>1436</v>
      </c>
      <c r="E60" s="229" t="s">
        <v>1437</v>
      </c>
      <c r="F60" s="229" t="s">
        <v>1438</v>
      </c>
      <c r="G60" s="229" t="s">
        <v>1439</v>
      </c>
      <c r="H60" s="45"/>
      <c r="I60" s="45"/>
      <c r="J60" s="45"/>
      <c r="K60" s="45"/>
      <c r="L60" s="45"/>
      <c r="M60" s="45"/>
      <c r="N60" s="45"/>
      <c r="O60" s="45"/>
      <c r="P60" s="45"/>
      <c r="Q60" s="45"/>
      <c r="R60" s="45"/>
      <c r="S60" s="45"/>
      <c r="T60" s="45"/>
      <c r="U60" s="45"/>
      <c r="V60" s="45"/>
      <c r="W60" s="45"/>
      <c r="X60" s="45"/>
    </row>
    <row r="61" spans="1:24" x14ac:dyDescent="0.2">
      <c r="A61" s="45"/>
      <c r="B61" s="219" t="s">
        <v>1314</v>
      </c>
      <c r="C61" s="219" t="s">
        <v>1440</v>
      </c>
      <c r="D61" s="225" t="s">
        <v>1441</v>
      </c>
      <c r="E61" s="225" t="s">
        <v>1442</v>
      </c>
      <c r="F61" s="225" t="s">
        <v>1443</v>
      </c>
      <c r="G61" s="225" t="s">
        <v>1444</v>
      </c>
      <c r="H61" s="45"/>
      <c r="I61" s="45"/>
      <c r="J61" s="45"/>
      <c r="K61" s="45"/>
      <c r="L61" s="45"/>
      <c r="M61" s="45"/>
      <c r="N61" s="45"/>
      <c r="O61" s="45"/>
      <c r="P61" s="45"/>
      <c r="Q61" s="45"/>
      <c r="R61" s="45"/>
      <c r="S61" s="45"/>
      <c r="T61" s="45"/>
      <c r="U61" s="45"/>
      <c r="V61" s="45"/>
      <c r="W61" s="45"/>
      <c r="X61" s="45"/>
    </row>
    <row r="62" spans="1:24" x14ac:dyDescent="0.2">
      <c r="A62" s="45"/>
      <c r="B62" s="219" t="s">
        <v>1319</v>
      </c>
      <c r="C62" s="219" t="s">
        <v>1445</v>
      </c>
      <c r="D62" s="225" t="s">
        <v>1446</v>
      </c>
      <c r="E62" s="225" t="s">
        <v>1447</v>
      </c>
      <c r="F62" s="225" t="s">
        <v>1448</v>
      </c>
      <c r="G62" s="225" t="s">
        <v>1449</v>
      </c>
      <c r="H62" s="225" t="s">
        <v>1450</v>
      </c>
      <c r="I62" s="225" t="s">
        <v>1451</v>
      </c>
      <c r="J62" s="225" t="s">
        <v>1452</v>
      </c>
      <c r="K62" s="225" t="s">
        <v>1453</v>
      </c>
      <c r="L62" s="45"/>
      <c r="M62" s="45"/>
      <c r="N62" s="45"/>
      <c r="O62" s="45"/>
      <c r="P62" s="45"/>
      <c r="Q62" s="45"/>
      <c r="R62" s="45"/>
      <c r="S62" s="45"/>
      <c r="T62" s="45"/>
      <c r="U62" s="45"/>
      <c r="V62" s="45"/>
      <c r="W62" s="45"/>
      <c r="X62" s="45"/>
    </row>
    <row r="63" spans="1:24" x14ac:dyDescent="0.2">
      <c r="A63" s="45"/>
      <c r="B63" s="219" t="s">
        <v>1323</v>
      </c>
      <c r="C63" s="219" t="s">
        <v>1454</v>
      </c>
      <c r="D63" s="220" t="s">
        <v>1455</v>
      </c>
      <c r="E63" s="220" t="s">
        <v>1456</v>
      </c>
      <c r="F63" s="220" t="s">
        <v>1457</v>
      </c>
      <c r="G63" s="220" t="s">
        <v>1458</v>
      </c>
      <c r="H63" s="220" t="s">
        <v>1459</v>
      </c>
      <c r="I63" s="220" t="s">
        <v>1460</v>
      </c>
      <c r="J63" s="220" t="s">
        <v>1461</v>
      </c>
      <c r="K63" s="220" t="s">
        <v>1462</v>
      </c>
      <c r="L63" s="220" t="s">
        <v>1463</v>
      </c>
      <c r="M63" s="45"/>
      <c r="N63" s="45"/>
      <c r="O63" s="45"/>
      <c r="P63" s="45"/>
      <c r="Q63" s="45"/>
      <c r="R63" s="45"/>
      <c r="S63" s="45"/>
      <c r="T63" s="45"/>
      <c r="U63" s="45"/>
      <c r="V63" s="45"/>
      <c r="W63" s="45"/>
      <c r="X63" s="45"/>
    </row>
    <row r="64" spans="1:24" x14ac:dyDescent="0.2">
      <c r="A64" s="45"/>
      <c r="B64" s="219" t="s">
        <v>1329</v>
      </c>
      <c r="C64" s="219" t="s">
        <v>1464</v>
      </c>
      <c r="D64" s="225" t="s">
        <v>1465</v>
      </c>
      <c r="E64" s="225" t="s">
        <v>1466</v>
      </c>
      <c r="F64" s="225" t="s">
        <v>1467</v>
      </c>
      <c r="G64" s="225" t="s">
        <v>1468</v>
      </c>
      <c r="H64" s="225" t="s">
        <v>1469</v>
      </c>
      <c r="I64" s="225" t="s">
        <v>1470</v>
      </c>
      <c r="J64" s="225" t="s">
        <v>1471</v>
      </c>
      <c r="K64" s="45"/>
      <c r="L64" s="45"/>
      <c r="M64" s="45"/>
      <c r="N64" s="45"/>
      <c r="O64" s="45"/>
      <c r="P64" s="45"/>
      <c r="Q64" s="45"/>
      <c r="R64" s="45"/>
      <c r="S64" s="45"/>
      <c r="T64" s="45"/>
      <c r="U64" s="45"/>
      <c r="V64" s="45"/>
      <c r="W64" s="45"/>
      <c r="X64" s="45"/>
    </row>
    <row r="65" spans="1:24" x14ac:dyDescent="0.2">
      <c r="A65" s="45"/>
      <c r="B65" s="219" t="s">
        <v>1333</v>
      </c>
      <c r="C65" s="219" t="s">
        <v>1472</v>
      </c>
      <c r="D65" s="225" t="s">
        <v>1473</v>
      </c>
      <c r="E65" s="225" t="s">
        <v>1474</v>
      </c>
      <c r="F65" s="225" t="s">
        <v>1475</v>
      </c>
      <c r="G65" s="225" t="s">
        <v>1476</v>
      </c>
      <c r="H65" s="225" t="s">
        <v>1477</v>
      </c>
      <c r="I65" s="225" t="s">
        <v>1478</v>
      </c>
      <c r="J65" s="225" t="s">
        <v>1479</v>
      </c>
      <c r="K65" s="45"/>
      <c r="L65" s="45"/>
      <c r="M65" s="45"/>
      <c r="N65" s="45"/>
      <c r="O65" s="45"/>
      <c r="P65" s="45"/>
      <c r="Q65" s="45"/>
      <c r="R65" s="45"/>
      <c r="S65" s="45"/>
      <c r="T65" s="45"/>
      <c r="U65" s="45"/>
      <c r="V65" s="45"/>
      <c r="W65" s="45"/>
      <c r="X65" s="45"/>
    </row>
    <row r="66" spans="1:24" x14ac:dyDescent="0.2">
      <c r="A66" s="45"/>
      <c r="B66" s="219" t="s">
        <v>1340</v>
      </c>
      <c r="C66" s="219" t="s">
        <v>1480</v>
      </c>
      <c r="D66" s="225" t="s">
        <v>1481</v>
      </c>
      <c r="E66" s="225" t="s">
        <v>1482</v>
      </c>
      <c r="F66" s="225" t="s">
        <v>1483</v>
      </c>
      <c r="G66" s="225" t="s">
        <v>1484</v>
      </c>
      <c r="H66" s="225" t="s">
        <v>1485</v>
      </c>
      <c r="I66" s="225" t="s">
        <v>1486</v>
      </c>
      <c r="J66" s="225" t="s">
        <v>1487</v>
      </c>
      <c r="K66" s="45"/>
      <c r="L66" s="45"/>
      <c r="M66" s="45"/>
      <c r="N66" s="45"/>
      <c r="O66" s="45"/>
      <c r="P66" s="45"/>
      <c r="Q66" s="45"/>
      <c r="R66" s="45"/>
      <c r="S66" s="45"/>
      <c r="T66" s="45"/>
      <c r="U66" s="45"/>
      <c r="V66" s="45"/>
      <c r="W66" s="45"/>
      <c r="X66" s="45"/>
    </row>
    <row r="67" spans="1:24" x14ac:dyDescent="0.2">
      <c r="A67" s="45"/>
      <c r="B67" s="219" t="s">
        <v>1345</v>
      </c>
      <c r="C67" s="219" t="s">
        <v>1488</v>
      </c>
      <c r="D67" s="225" t="s">
        <v>1489</v>
      </c>
      <c r="E67" s="225" t="s">
        <v>1490</v>
      </c>
      <c r="F67" s="225" t="s">
        <v>1491</v>
      </c>
      <c r="G67" s="225" t="s">
        <v>1492</v>
      </c>
      <c r="H67" s="45"/>
      <c r="I67" s="45"/>
      <c r="J67" s="45"/>
      <c r="K67" s="45"/>
      <c r="L67" s="45"/>
      <c r="M67" s="45"/>
      <c r="N67" s="45"/>
      <c r="O67" s="45"/>
      <c r="P67" s="45"/>
      <c r="Q67" s="45"/>
      <c r="R67" s="45"/>
      <c r="S67" s="45"/>
      <c r="T67" s="45"/>
      <c r="U67" s="45"/>
      <c r="V67" s="45"/>
      <c r="W67" s="45"/>
      <c r="X67" s="45"/>
    </row>
    <row r="68" spans="1:24" x14ac:dyDescent="0.2">
      <c r="A68" s="45"/>
      <c r="B68" s="226" t="s">
        <v>1351</v>
      </c>
      <c r="C68" s="226" t="s">
        <v>1493</v>
      </c>
      <c r="D68" s="225" t="s">
        <v>1494</v>
      </c>
      <c r="E68" s="225" t="s">
        <v>1495</v>
      </c>
      <c r="F68" s="225" t="s">
        <v>1496</v>
      </c>
      <c r="G68" s="225" t="s">
        <v>1497</v>
      </c>
      <c r="H68" s="225" t="s">
        <v>1498</v>
      </c>
      <c r="I68" s="225" t="s">
        <v>1499</v>
      </c>
      <c r="J68" s="225" t="s">
        <v>1500</v>
      </c>
      <c r="K68" s="225" t="s">
        <v>1501</v>
      </c>
      <c r="L68" s="45"/>
      <c r="M68" s="45"/>
      <c r="N68" s="45"/>
      <c r="O68" s="45"/>
      <c r="P68" s="45"/>
      <c r="Q68" s="45"/>
      <c r="R68" s="45"/>
      <c r="S68" s="45"/>
      <c r="T68" s="45"/>
      <c r="U68" s="45"/>
      <c r="V68" s="45"/>
      <c r="W68" s="45"/>
      <c r="X68" s="45"/>
    </row>
    <row r="69" spans="1:24" x14ac:dyDescent="0.2">
      <c r="A69" s="45"/>
      <c r="B69" s="226" t="s">
        <v>1359</v>
      </c>
      <c r="C69" s="226" t="s">
        <v>1502</v>
      </c>
      <c r="D69" s="225" t="s">
        <v>1503</v>
      </c>
      <c r="E69" s="225" t="s">
        <v>1504</v>
      </c>
      <c r="F69" s="225" t="s">
        <v>1505</v>
      </c>
      <c r="G69" s="225" t="s">
        <v>1506</v>
      </c>
      <c r="H69" s="45"/>
      <c r="I69" s="45"/>
      <c r="J69" s="45"/>
      <c r="K69" s="45"/>
      <c r="L69" s="45"/>
      <c r="M69" s="45"/>
      <c r="N69" s="45"/>
      <c r="O69" s="45"/>
      <c r="P69" s="45"/>
      <c r="Q69" s="45"/>
      <c r="R69" s="45"/>
      <c r="S69" s="45"/>
      <c r="T69" s="45"/>
      <c r="U69" s="45"/>
      <c r="V69" s="45"/>
      <c r="W69" s="45"/>
      <c r="X69" s="45"/>
    </row>
    <row r="70" spans="1:24" x14ac:dyDescent="0.2">
      <c r="A70" s="45"/>
      <c r="B70" s="226" t="s">
        <v>1367</v>
      </c>
      <c r="C70" s="226" t="s">
        <v>1507</v>
      </c>
      <c r="D70" s="225" t="s">
        <v>1508</v>
      </c>
      <c r="E70" s="225" t="s">
        <v>1509</v>
      </c>
      <c r="F70" s="225" t="s">
        <v>1510</v>
      </c>
      <c r="G70" s="45"/>
      <c r="H70" s="45"/>
      <c r="I70" s="45"/>
      <c r="J70" s="45"/>
      <c r="K70" s="45"/>
      <c r="L70" s="45"/>
      <c r="M70" s="45"/>
      <c r="N70" s="45"/>
      <c r="O70" s="45"/>
      <c r="P70" s="45"/>
      <c r="Q70" s="45"/>
      <c r="R70" s="45"/>
      <c r="S70" s="45"/>
      <c r="T70" s="45"/>
      <c r="U70" s="45"/>
      <c r="V70" s="45"/>
      <c r="W70" s="45"/>
      <c r="X70" s="45"/>
    </row>
    <row r="71" spans="1:24" x14ac:dyDescent="0.2">
      <c r="A71" s="45"/>
      <c r="B71" s="226" t="s">
        <v>1374</v>
      </c>
      <c r="C71" s="226" t="s">
        <v>1511</v>
      </c>
      <c r="D71" s="225" t="s">
        <v>1512</v>
      </c>
      <c r="E71" s="225" t="s">
        <v>1513</v>
      </c>
      <c r="F71" s="225" t="s">
        <v>1514</v>
      </c>
      <c r="G71" s="225" t="s">
        <v>1515</v>
      </c>
      <c r="H71" s="225" t="s">
        <v>1516</v>
      </c>
      <c r="I71" s="45"/>
      <c r="J71" s="45"/>
      <c r="K71" s="45"/>
      <c r="L71" s="45"/>
      <c r="M71" s="45"/>
      <c r="N71" s="45"/>
      <c r="O71" s="45"/>
      <c r="P71" s="45"/>
      <c r="Q71" s="45"/>
      <c r="R71" s="45"/>
      <c r="S71" s="45"/>
      <c r="T71" s="45"/>
      <c r="U71" s="45"/>
      <c r="V71" s="45"/>
      <c r="W71" s="45"/>
      <c r="X71" s="45"/>
    </row>
    <row r="72" spans="1:24" x14ac:dyDescent="0.2">
      <c r="A72" s="45"/>
      <c r="B72" s="226" t="s">
        <v>1379</v>
      </c>
      <c r="C72" s="226" t="s">
        <v>1517</v>
      </c>
      <c r="D72" s="230" t="s">
        <v>784</v>
      </c>
      <c r="E72" s="45"/>
      <c r="F72" s="45"/>
      <c r="G72" s="45"/>
      <c r="H72" s="45"/>
      <c r="I72" s="45"/>
      <c r="J72" s="45"/>
      <c r="K72" s="45"/>
      <c r="L72" s="45"/>
      <c r="M72" s="45"/>
      <c r="N72" s="45"/>
      <c r="O72" s="45"/>
      <c r="P72" s="45"/>
      <c r="Q72" s="45"/>
      <c r="R72" s="45"/>
      <c r="S72" s="45"/>
      <c r="T72" s="45"/>
      <c r="U72" s="45"/>
      <c r="V72" s="45"/>
      <c r="W72" s="45"/>
      <c r="X72" s="45"/>
    </row>
    <row r="73" spans="1:24" x14ac:dyDescent="0.2">
      <c r="A73" s="45"/>
      <c r="B73" s="45"/>
      <c r="C73" s="45"/>
      <c r="D73" s="45"/>
      <c r="E73" s="45"/>
      <c r="F73" s="45"/>
      <c r="G73" s="45"/>
      <c r="H73" s="45"/>
      <c r="I73" s="45"/>
      <c r="J73" s="45"/>
      <c r="K73" s="45"/>
      <c r="L73" s="45"/>
      <c r="M73" s="45"/>
      <c r="N73" s="45"/>
      <c r="O73" s="45"/>
      <c r="P73" s="45"/>
      <c r="Q73" s="45"/>
      <c r="R73" s="45"/>
      <c r="S73" s="45"/>
      <c r="T73" s="45"/>
      <c r="U73" s="45"/>
      <c r="V73" s="45"/>
      <c r="W73" s="45"/>
      <c r="X73" s="45"/>
    </row>
    <row r="75" spans="1:24" x14ac:dyDescent="0.2">
      <c r="B75" s="226" t="s">
        <v>1518</v>
      </c>
      <c r="C75" s="779"/>
      <c r="D75" s="796" t="s">
        <v>1519</v>
      </c>
      <c r="E75" s="796" t="s">
        <v>1520</v>
      </c>
      <c r="F75" s="796" t="s">
        <v>1521</v>
      </c>
      <c r="G75" s="796" t="s">
        <v>1522</v>
      </c>
      <c r="H75" s="796" t="s">
        <v>1523</v>
      </c>
      <c r="I75" s="796" t="s">
        <v>1524</v>
      </c>
      <c r="J75" s="796" t="s">
        <v>1525</v>
      </c>
      <c r="K75" s="796" t="s">
        <v>1526</v>
      </c>
      <c r="L75" s="796" t="s">
        <v>1527</v>
      </c>
      <c r="M75" s="796" t="s">
        <v>1528</v>
      </c>
      <c r="N75" s="779"/>
      <c r="O75" s="779"/>
      <c r="P75" s="779"/>
      <c r="Q75" s="779"/>
    </row>
    <row r="76" spans="1:24" x14ac:dyDescent="0.2">
      <c r="B76" s="226" t="s">
        <v>1529</v>
      </c>
      <c r="C76" s="779"/>
      <c r="D76" s="798">
        <f>1547.72/1000000</f>
        <v>1.54772E-3</v>
      </c>
      <c r="E76" s="798">
        <v>646.13716295427889</v>
      </c>
      <c r="F76" s="799">
        <f>50.3/117.1</f>
        <v>0.4295473953885568</v>
      </c>
      <c r="G76" s="799">
        <f>156.4/67.2</f>
        <v>2.3273809523809526</v>
      </c>
      <c r="H76" s="798">
        <v>2.2046199999999998</v>
      </c>
      <c r="I76" s="798">
        <v>0.45359290943563974</v>
      </c>
      <c r="J76" s="798">
        <v>3.4120000000000001E-3</v>
      </c>
      <c r="K76" s="798">
        <v>293.08323563892145</v>
      </c>
      <c r="L76" s="798">
        <v>3600000</v>
      </c>
      <c r="M76" s="798">
        <v>2.7777777777777776E-7</v>
      </c>
    </row>
    <row r="77" spans="1:24" x14ac:dyDescent="0.2">
      <c r="B77" s="797"/>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e51baf0-14aa-4906-860b-cee78968d763" xsi:nil="true"/>
    <lcf76f155ced4ddcb4097134ff3c332f xmlns="8d9376e6-7d95-411a-87e1-61a8d5c05fd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4FB5FA93D30443B80B4579B15F61AE" ma:contentTypeVersion="16" ma:contentTypeDescription="Create a new document." ma:contentTypeScope="" ma:versionID="7c26785ea01dbbf71681e0cf914390e1">
  <xsd:schema xmlns:xsd="http://www.w3.org/2001/XMLSchema" xmlns:xs="http://www.w3.org/2001/XMLSchema" xmlns:p="http://schemas.microsoft.com/office/2006/metadata/properties" xmlns:ns2="8d9376e6-7d95-411a-87e1-61a8d5c05fda" xmlns:ns3="be51baf0-14aa-4906-860b-cee78968d763" targetNamespace="http://schemas.microsoft.com/office/2006/metadata/properties" ma:root="true" ma:fieldsID="677386c00fcb18a461cb825c238c4800" ns2:_="" ns3:_="">
    <xsd:import namespace="8d9376e6-7d95-411a-87e1-61a8d5c05fda"/>
    <xsd:import namespace="be51baf0-14aa-4906-860b-cee78968d76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376e6-7d95-411a-87e1-61a8d5c05f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c48949-fdeb-4e8d-9934-6ed7181408f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e51baf0-14aa-4906-860b-cee78968d7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f29e336-c058-4e5c-aa27-2ec5d7b38318}" ma:internalName="TaxCatchAll" ma:showField="CatchAllData" ma:web="be51baf0-14aa-4906-860b-cee78968d7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1A449E-52C2-4683-860F-FFDBE447B5D0}">
  <ds:schemaRefs>
    <ds:schemaRef ds:uri="http://schemas.microsoft.com/office/2006/metadata/properties"/>
    <ds:schemaRef ds:uri="http://schemas.microsoft.com/office/infopath/2007/PartnerControls"/>
    <ds:schemaRef ds:uri="be51baf0-14aa-4906-860b-cee78968d763"/>
    <ds:schemaRef ds:uri="8d9376e6-7d95-411a-87e1-61a8d5c05fda"/>
  </ds:schemaRefs>
</ds:datastoreItem>
</file>

<file path=customXml/itemProps2.xml><?xml version="1.0" encoding="utf-8"?>
<ds:datastoreItem xmlns:ds="http://schemas.openxmlformats.org/officeDocument/2006/customXml" ds:itemID="{732DD31F-9FC8-442D-9036-43417A0CE1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9376e6-7d95-411a-87e1-61a8d5c05fda"/>
    <ds:schemaRef ds:uri="be51baf0-14aa-4906-860b-cee78968d7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50E86C-47E9-4F1D-80A2-A153AE6048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25</vt:i4>
      </vt:variant>
      <vt:variant>
        <vt:lpstr>Named Ranges</vt:lpstr>
      </vt:variant>
      <vt:variant>
        <vt:i4>207</vt:i4>
      </vt:variant>
    </vt:vector>
  </HeadingPairs>
  <TitlesOfParts>
    <vt:vector size="232" baseType="lpstr">
      <vt:lpstr>TECHTEST Landing Page</vt:lpstr>
      <vt:lpstr>Full Entry Home Page</vt:lpstr>
      <vt:lpstr>Rapid Data Entry Home Page</vt:lpstr>
      <vt:lpstr>Project Basics &amp; Benchmarks</vt:lpstr>
      <vt:lpstr>Functional Unit</vt:lpstr>
      <vt:lpstr>Raw Materials</vt:lpstr>
      <vt:lpstr>Market</vt:lpstr>
      <vt:lpstr>Manufacturing Energy</vt:lpstr>
      <vt:lpstr>Use Phase Energy</vt:lpstr>
      <vt:lpstr>CapEx</vt:lpstr>
      <vt:lpstr>OpEx</vt:lpstr>
      <vt:lpstr>Unit Conversion Page</vt:lpstr>
      <vt:lpstr>Grid Mix Customization</vt:lpstr>
      <vt:lpstr>Summary Tables</vt:lpstr>
      <vt:lpstr>Results Dashboard</vt:lpstr>
      <vt:lpstr>Rapid Data Input (Method 2)</vt:lpstr>
      <vt:lpstr>Summary Tables (Method 2)</vt:lpstr>
      <vt:lpstr>Rapid Results Dashboard</vt:lpstr>
      <vt:lpstr>Cost Comparison Mini-Tool</vt:lpstr>
      <vt:lpstr>MFI Embodied Energy Mini-Tool</vt:lpstr>
      <vt:lpstr>Labor Estimation Mini-Tool</vt:lpstr>
      <vt:lpstr>GWP Ref Tables</vt:lpstr>
      <vt:lpstr>EIA Ref Tables</vt:lpstr>
      <vt:lpstr>Summary Ref Tables</vt:lpstr>
      <vt:lpstr>Dropdown Menu Options</vt:lpstr>
      <vt:lpstr>AMO_TM</vt:lpstr>
      <vt:lpstr>AnnualCapEx_Benchmark</vt:lpstr>
      <vt:lpstr>AnnualCapEx_Benchmark_withMaintenance</vt:lpstr>
      <vt:lpstr>AnnualCapEx_NewTech</vt:lpstr>
      <vt:lpstr>AnnualCapEx_NewTech_withMaintenance</vt:lpstr>
      <vt:lpstr>AnnualConstructionCapEx_Benchmark</vt:lpstr>
      <vt:lpstr>AnnualConstructionCapEx_NewTech</vt:lpstr>
      <vt:lpstr>AnnualEnergyCost_Benchmark</vt:lpstr>
      <vt:lpstr>AnnualEnergyCost_NewTech</vt:lpstr>
      <vt:lpstr>AnnualLaborCost_Benchmark</vt:lpstr>
      <vt:lpstr>AnnualLaborCost_NewTech</vt:lpstr>
      <vt:lpstr>AnnualMatCost_Benchmark</vt:lpstr>
      <vt:lpstr>AnnualMatCost_NewTech</vt:lpstr>
      <vt:lpstr>AnnualNonProcessCapEx_Benchmark</vt:lpstr>
      <vt:lpstr>AnnualNonProcessCapEx_NewTech</vt:lpstr>
      <vt:lpstr>AnnualOpEx_Benchmark</vt:lpstr>
      <vt:lpstr>AnnualOpEx_NewTech</vt:lpstr>
      <vt:lpstr>AnnualOtherCapEx_Benchmark</vt:lpstr>
      <vt:lpstr>AnnualOtherCapEx_NewTech</vt:lpstr>
      <vt:lpstr>AnnualOtherRecurring_Benchmark</vt:lpstr>
      <vt:lpstr>AnnualOtherRecurring_NewTech</vt:lpstr>
      <vt:lpstr>AnnualProcessCapEx_Benchmark</vt:lpstr>
      <vt:lpstr>AnnualProcessCapEx_NewTech</vt:lpstr>
      <vt:lpstr>AnnualUsePhaseEmissions_Current</vt:lpstr>
      <vt:lpstr>AnnualUsePhaseEmissions_Hypothetical</vt:lpstr>
      <vt:lpstr>AnnualUsePhaseEnergy_Current</vt:lpstr>
      <vt:lpstr>AnnualUsePhaseEnergy_Hypoth</vt:lpstr>
      <vt:lpstr>BasicsBenchmarks</vt:lpstr>
      <vt:lpstr>Benchmark_Apps</vt:lpstr>
      <vt:lpstr>Benchmark_Status</vt:lpstr>
      <vt:lpstr>CH4_GWP</vt:lpstr>
      <vt:lpstr>Challenges_Additive_Manufacturing</vt:lpstr>
      <vt:lpstr>Challenges_Advanced_Materials</vt:lpstr>
      <vt:lpstr>Challenges_Advanced_Sensors</vt:lpstr>
      <vt:lpstr>Challenges_CHP</vt:lpstr>
      <vt:lpstr>Challenges_Clean_Water</vt:lpstr>
      <vt:lpstr>Challenges_Composite_Materials</vt:lpstr>
      <vt:lpstr>Challenges_Critical_Materials</vt:lpstr>
      <vt:lpstr>Challenges_Cybersecurity</vt:lpstr>
      <vt:lpstr>Challenges_Energy_Efficient_Computing</vt:lpstr>
      <vt:lpstr>Challenges_Materials_Harsh</vt:lpstr>
      <vt:lpstr>Challenges_Motor_Driven_Systems</vt:lpstr>
      <vt:lpstr>Challenges_Other</vt:lpstr>
      <vt:lpstr>Challenges_Process_Heating</vt:lpstr>
      <vt:lpstr>Challenges_Process_Intensification</vt:lpstr>
      <vt:lpstr>Challenges_Roll_to_Roll_Processing</vt:lpstr>
      <vt:lpstr>Challenges_Sustainable_Manufacturing</vt:lpstr>
      <vt:lpstr>Challenges_Thermal_Conversion_Materials</vt:lpstr>
      <vt:lpstr>Challenges_Waste_Heat_Recovery</vt:lpstr>
      <vt:lpstr>Challenges_Wide_Bandgap_Semiconductors</vt:lpstr>
      <vt:lpstr>Commercial_Benchmark</vt:lpstr>
      <vt:lpstr>CurrentMarketShare_Benchmark</vt:lpstr>
      <vt:lpstr>CurrentMarketShare_NewTech</vt:lpstr>
      <vt:lpstr>CurrentMarketShare_OtherTech</vt:lpstr>
      <vt:lpstr>EIA</vt:lpstr>
      <vt:lpstr>EndUse_Product</vt:lpstr>
      <vt:lpstr>EnergyConsumption</vt:lpstr>
      <vt:lpstr>EnergyCost_Benchmark</vt:lpstr>
      <vt:lpstr>EnergyCost_NewTech</vt:lpstr>
      <vt:lpstr>EnergyCostBAU</vt:lpstr>
      <vt:lpstr>EnergyCostNT</vt:lpstr>
      <vt:lpstr>EquipMaintenanceRate_Benchmark</vt:lpstr>
      <vt:lpstr>EquipMaintenanceRate_NewTech</vt:lpstr>
      <vt:lpstr>Facility_Production_Benchmark</vt:lpstr>
      <vt:lpstr>Facility_Production_NewTech</vt:lpstr>
      <vt:lpstr>FullDataLanding</vt:lpstr>
      <vt:lpstr>Functional_Unit</vt:lpstr>
      <vt:lpstr>Funding_Mech</vt:lpstr>
      <vt:lpstr>GM_Output</vt:lpstr>
      <vt:lpstr>GMC</vt:lpstr>
      <vt:lpstr>GridMix</vt:lpstr>
      <vt:lpstr>GWP</vt:lpstr>
      <vt:lpstr>GWP_Elec_Reference</vt:lpstr>
      <vt:lpstr>Labor_Estimation</vt:lpstr>
      <vt:lpstr>MYPP_List</vt:lpstr>
      <vt:lpstr>N2O_GWP</vt:lpstr>
      <vt:lpstr>New_Technology</vt:lpstr>
      <vt:lpstr>New_Technology_Apps</vt:lpstr>
      <vt:lpstr>NewTech_Status</vt:lpstr>
      <vt:lpstr>Other_Competing</vt:lpstr>
      <vt:lpstr>Other_Competing_Apps</vt:lpstr>
      <vt:lpstr>OtherTech_Status</vt:lpstr>
      <vt:lpstr>PotentialMarketShare_Benchmark</vt:lpstr>
      <vt:lpstr>PotentialMarketShare_NewTech</vt:lpstr>
      <vt:lpstr>PotentialMarketShare_OtherTech</vt:lpstr>
      <vt:lpstr>PotentialProduction</vt:lpstr>
      <vt:lpstr>Market!Print_Area</vt:lpstr>
      <vt:lpstr>'Project Basics &amp; Benchmarks'!Print_Area</vt:lpstr>
      <vt:lpstr>'Rapid Results Dashboard'!Print_Area</vt:lpstr>
      <vt:lpstr>'Raw Materials'!Print_Area</vt:lpstr>
      <vt:lpstr>'Results Dashboard'!Print_Area</vt:lpstr>
      <vt:lpstr>'Summary Tables'!Print_Area</vt:lpstr>
      <vt:lpstr>'Summary Tables (Method 2)'!Print_Area</vt:lpstr>
      <vt:lpstr>'TECHTEST Landing Page'!Print_Area</vt:lpstr>
      <vt:lpstr>Project_Collaborators</vt:lpstr>
      <vt:lpstr>Project_End</vt:lpstr>
      <vt:lpstr>Project_Lead</vt:lpstr>
      <vt:lpstr>Project_PI</vt:lpstr>
      <vt:lpstr>Project_PI_Org</vt:lpstr>
      <vt:lpstr>Project_Start</vt:lpstr>
      <vt:lpstr>Project_Title</vt:lpstr>
      <vt:lpstr>ProjectLead</vt:lpstr>
      <vt:lpstr>ProjectTitle</vt:lpstr>
      <vt:lpstr>RapidAnnualProd</vt:lpstr>
      <vt:lpstr>RapidAnnualProdUnits</vt:lpstr>
      <vt:lpstr>RapidBenchmarkTech</vt:lpstr>
      <vt:lpstr>RapidDataLanding</vt:lpstr>
      <vt:lpstr>RapidFacilityProduction</vt:lpstr>
      <vt:lpstr>RapidFacilityProductionBenchmark</vt:lpstr>
      <vt:lpstr>RapidPotentialMarketShare</vt:lpstr>
      <vt:lpstr>RapidPotentialProduction</vt:lpstr>
      <vt:lpstr>RapidProduct</vt:lpstr>
      <vt:lpstr>RapidRefVolume</vt:lpstr>
      <vt:lpstr>RapidRefVolumeBenchmark</vt:lpstr>
      <vt:lpstr>RapidReplaceableProduction</vt:lpstr>
      <vt:lpstr>Ref_Volume</vt:lpstr>
      <vt:lpstr>Ref_Volume_Benchmark</vt:lpstr>
      <vt:lpstr>Ref_Volume_Unit</vt:lpstr>
      <vt:lpstr>RefCapEx_Benchmark</vt:lpstr>
      <vt:lpstr>RefCapEx_Benchmark_withMaintenance</vt:lpstr>
      <vt:lpstr>RefCapEx_NewTech</vt:lpstr>
      <vt:lpstr>RefCapEx_NewTech_withMaintenance</vt:lpstr>
      <vt:lpstr>RefConstructionCapEx_Benchmark</vt:lpstr>
      <vt:lpstr>RefConstructionCapEx_NewTech</vt:lpstr>
      <vt:lpstr>RefEmbodiedEmissions_Benchmark</vt:lpstr>
      <vt:lpstr>RefEmbodiedEmissions_NewTech</vt:lpstr>
      <vt:lpstr>RefEmbodiedEnergy_Benchmark</vt:lpstr>
      <vt:lpstr>RefEmbodiedEnergy_NewTech</vt:lpstr>
      <vt:lpstr>RefEnergyCost_Benchmark</vt:lpstr>
      <vt:lpstr>RefEnergyCost_NewTech</vt:lpstr>
      <vt:lpstr>RefLaborCost_Benchmark</vt:lpstr>
      <vt:lpstr>RefLaborCost_NewTech</vt:lpstr>
      <vt:lpstr>RefManufEmissions_Benchmark</vt:lpstr>
      <vt:lpstr>RefManufEmissions_NewTech</vt:lpstr>
      <vt:lpstr>RefManufEnergy_Benchmark</vt:lpstr>
      <vt:lpstr>RefManufEnergy_NewTech</vt:lpstr>
      <vt:lpstr>RefManufEnergyCost_Benchmark</vt:lpstr>
      <vt:lpstr>RefManufEnergyCost_NewTech</vt:lpstr>
      <vt:lpstr>RefMatCost_Benchmark</vt:lpstr>
      <vt:lpstr>RefMatCost_NewTech</vt:lpstr>
      <vt:lpstr>RefNonProcessCapEx_Benchmark</vt:lpstr>
      <vt:lpstr>RefNonProcessCapEx_NewTech</vt:lpstr>
      <vt:lpstr>RefOpEx_Benchmark</vt:lpstr>
      <vt:lpstr>RefOpEx_NewTech</vt:lpstr>
      <vt:lpstr>RefOtherCapEx_Benchmark</vt:lpstr>
      <vt:lpstr>RefOtherCapEx_NewTech</vt:lpstr>
      <vt:lpstr>RefOtherRecurring_Benchmark</vt:lpstr>
      <vt:lpstr>RefOtherRecurring_NewTech</vt:lpstr>
      <vt:lpstr>RefProcessCapEx_Benchmark</vt:lpstr>
      <vt:lpstr>RefProcessCapEx_NewTech</vt:lpstr>
      <vt:lpstr>RefProcessEmissions_Benchmark</vt:lpstr>
      <vt:lpstr>RefProcessEmissions_NewTech</vt:lpstr>
      <vt:lpstr>ReplaceableProduction</vt:lpstr>
      <vt:lpstr>RpaidNewTech</vt:lpstr>
      <vt:lpstr>ScaledCapEx_Benchmark</vt:lpstr>
      <vt:lpstr>ScaledCapEx_Benchmark_withMaintenance</vt:lpstr>
      <vt:lpstr>ScaledConstructionCapEx_Benchmark</vt:lpstr>
      <vt:lpstr>ScaledEnergyCost_Benchmark</vt:lpstr>
      <vt:lpstr>ScaledLaborCost_Benchmark</vt:lpstr>
      <vt:lpstr>ScaledMatCost_Benchmark</vt:lpstr>
      <vt:lpstr>ScaledNonProcessCapEx_Benchmark</vt:lpstr>
      <vt:lpstr>ScaledOpEx_Benchmark</vt:lpstr>
      <vt:lpstr>ScaledOtherCapEx_Benchmark</vt:lpstr>
      <vt:lpstr>ScaledOtherRecurring_Benchmark</vt:lpstr>
      <vt:lpstr>ScaledProcessCapEx_Benchmark</vt:lpstr>
      <vt:lpstr>Targets_Additive_Manufacturing</vt:lpstr>
      <vt:lpstr>Targets_Advanced_Materials</vt:lpstr>
      <vt:lpstr>Targets_Advanced_Sensors</vt:lpstr>
      <vt:lpstr>Targets_CHP</vt:lpstr>
      <vt:lpstr>Targets_Clean_Water</vt:lpstr>
      <vt:lpstr>Targets_Composite_Materials</vt:lpstr>
      <vt:lpstr>Targets_Critical_Materials</vt:lpstr>
      <vt:lpstr>Targets_Cybersecurity</vt:lpstr>
      <vt:lpstr>Targets_Energy_Efficient_Computing</vt:lpstr>
      <vt:lpstr>Targets_Materials_Harsh</vt:lpstr>
      <vt:lpstr>Targets_Motor_Driven_Systems</vt:lpstr>
      <vt:lpstr>Targets_Other</vt:lpstr>
      <vt:lpstr>Targets_Process_Heating</vt:lpstr>
      <vt:lpstr>Targets_Process_Intensification</vt:lpstr>
      <vt:lpstr>Targets_Roll_to_Roll_Processing</vt:lpstr>
      <vt:lpstr>Targets_Sustainable_Manufacturing</vt:lpstr>
      <vt:lpstr>Targets_Thermal_Conversion_Materials</vt:lpstr>
      <vt:lpstr>Targets_Waste_Heat_Recovery</vt:lpstr>
      <vt:lpstr>Targets_Wide_Bandgap_Semiconductors</vt:lpstr>
      <vt:lpstr>Tech_Additive_Manufacturing</vt:lpstr>
      <vt:lpstr>Tech_Advanced_Materials</vt:lpstr>
      <vt:lpstr>Tech_Advanced_Sensors</vt:lpstr>
      <vt:lpstr>Tech_CHP</vt:lpstr>
      <vt:lpstr>Tech_Clean_Water</vt:lpstr>
      <vt:lpstr>Tech_Composite_Materials</vt:lpstr>
      <vt:lpstr>Tech_Critical_Materials</vt:lpstr>
      <vt:lpstr>Tech_Cybersecurity</vt:lpstr>
      <vt:lpstr>Tech_Energy_Efficient_Computing</vt:lpstr>
      <vt:lpstr>Tech_Materials_Harsh</vt:lpstr>
      <vt:lpstr>Tech_Motor_Driven_Systems</vt:lpstr>
      <vt:lpstr>Tech_Other</vt:lpstr>
      <vt:lpstr>Tech_Process_Heating</vt:lpstr>
      <vt:lpstr>Tech_Process_Intensification</vt:lpstr>
      <vt:lpstr>Tech_Roll_to_Roll_Processing</vt:lpstr>
      <vt:lpstr>Tech_Sustainable_Manufacturing</vt:lpstr>
      <vt:lpstr>Tech_Thermal_Conversion_Materials</vt:lpstr>
      <vt:lpstr>Tech_Waste_Heat_Recovery</vt:lpstr>
      <vt:lpstr>Tech_Wide_Bandgap_Semiconductors</vt:lpstr>
      <vt:lpstr>UPE_BAU</vt:lpstr>
      <vt:lpstr>UPE_NT</vt:lpstr>
      <vt:lpstr>US_Annual_Production</vt:lpstr>
      <vt:lpstr>US_Annual_Production_Unit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Heather Liddell</dc:creator>
  <cp:keywords/>
  <dc:description/>
  <cp:lastModifiedBy>Tang, Siqi</cp:lastModifiedBy>
  <cp:revision/>
  <dcterms:created xsi:type="dcterms:W3CDTF">2021-04-02T13:25:07Z</dcterms:created>
  <dcterms:modified xsi:type="dcterms:W3CDTF">2026-10-15T04:15:09Z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0x0101009B4FB5FA93D30443B80B4579B15F61AE</vt:lpwstr>
  </property>
  <property fmtid="{D5CDD505-2E9C-101B-9397-08002B2CF9AE}" pid="3" name="MediaServiceImageTags">
    <vt:lpwstr/>
  </property>
</Properties>
</file>